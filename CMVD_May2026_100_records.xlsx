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CCA97D5B-9857-6646-AC58-A7C23C04C5A5}" xr6:coauthVersionLast="47" xr6:coauthVersionMax="47" xr10:uidLastSave="{00000000-0000-0000-0000-000000000000}"/>
  <bookViews>
    <workbookView xWindow="0" yWindow="500" windowWidth="25600" windowHeight="14620" xr2:uid="{00000000-000D-0000-FFFF-FFFF00000000}"/>
  </bookViews>
  <sheets>
    <sheet name="Dataset" sheetId="1" r:id="rId1"/>
    <sheet name="READM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<sst xmlns="http://schemas.openxmlformats.org/spreadsheetml/2006/main" count="2998" uniqueCount="347">
  <si>
    <t>Record_ID</t>
  </si>
  <si>
    <t>ED_Arrival_Date</t>
  </si>
  <si>
    <t>Referral_Pathway</t>
  </si>
  <si>
    <t>Patient_Sex</t>
  </si>
  <si>
    <t>Age_years</t>
  </si>
  <si>
    <t>Ethnicity</t>
  </si>
  <si>
    <t>Weight_kg</t>
  </si>
  <si>
    <t>Height_cm</t>
  </si>
  <si>
    <t>BMI_kg_m2</t>
  </si>
  <si>
    <t>Waist_cm</t>
  </si>
  <si>
    <t>BMI_Class</t>
  </si>
  <si>
    <t>Current_Smoker</t>
  </si>
  <si>
    <t>Hypertension</t>
  </si>
  <si>
    <t>Diabetes_Mellitus</t>
  </si>
  <si>
    <t>Dyslipidemia</t>
  </si>
  <si>
    <t>Recent_Illness_30d</t>
  </si>
  <si>
    <t>Days_Since_Illness</t>
  </si>
  <si>
    <t>Fever_On_Arrival</t>
  </si>
  <si>
    <t>Chest_Pain</t>
  </si>
  <si>
    <t>Dyspnea_NYHA</t>
  </si>
  <si>
    <t>SBP_mmHg</t>
  </si>
  <si>
    <t>DBP_mmHg</t>
  </si>
  <si>
    <t>MAP_mmHg</t>
  </si>
  <si>
    <t>Heart_Rate_bpm</t>
  </si>
  <si>
    <t>SpO2_percent</t>
  </si>
  <si>
    <t>Troponin_I_0h_ng_L</t>
  </si>
  <si>
    <t>Troponin_I_3h_ng_L</t>
  </si>
  <si>
    <t>Troponin_Delta_ng_L</t>
  </si>
  <si>
    <t>NTproBNP_pg_mL</t>
  </si>
  <si>
    <t>CK_MB_ng_mL</t>
  </si>
  <si>
    <t>D_Dimer_ng_mL</t>
  </si>
  <si>
    <t>hsCRP_mg_L</t>
  </si>
  <si>
    <t>ESR_mm_hr</t>
  </si>
  <si>
    <t>Ferritin_ng_mL</t>
  </si>
  <si>
    <t>IL6_pg_mL</t>
  </si>
  <si>
    <t>HbA1c_percent</t>
  </si>
  <si>
    <t>Fasting_Glucose_mmol_L</t>
  </si>
  <si>
    <t>LDL_mg_dL</t>
  </si>
  <si>
    <t>HDL_mg_dL</t>
  </si>
  <si>
    <t>Triglycerides_mg_dL</t>
  </si>
  <si>
    <t>Creatinine_umol_L</t>
  </si>
  <si>
    <t>eGFR_mL_min_1_73m2</t>
  </si>
  <si>
    <t>Urea_mmol_L</t>
  </si>
  <si>
    <t>Sodium_mmol_L</t>
  </si>
  <si>
    <t>Potassium_mmol_L</t>
  </si>
  <si>
    <t>ALT_U_L</t>
  </si>
  <si>
    <t>AST_U_L</t>
  </si>
  <si>
    <t>Albumin_g_L</t>
  </si>
  <si>
    <t>Lactate_mmol_L</t>
  </si>
  <si>
    <t>WBC_10e9_L</t>
  </si>
  <si>
    <t>Neutrophil_Lymphocyte_Ratio</t>
  </si>
  <si>
    <t>Hemoglobin_g_dL</t>
  </si>
  <si>
    <t>Platelets_10e9_L</t>
  </si>
  <si>
    <t>LVEF_percent</t>
  </si>
  <si>
    <t>LVEDD_mm</t>
  </si>
  <si>
    <t>LVMI_g_m2</t>
  </si>
  <si>
    <t>E_e_prime</t>
  </si>
  <si>
    <t>RV_Dysfunction</t>
  </si>
  <si>
    <t>PASP_mmHg</t>
  </si>
  <si>
    <t>LA_Volume_Index_mL_m2</t>
  </si>
  <si>
    <t>Global_Longitudinal_Strain_percent</t>
  </si>
  <si>
    <t>Coronary_CTA_Result</t>
  </si>
  <si>
    <t>Coronary_Calcium_Score</t>
  </si>
  <si>
    <t>Carotid_Stenosis_percent</t>
  </si>
  <si>
    <t>ABI</t>
  </si>
  <si>
    <t>Peripheral_Vascular_Disease</t>
  </si>
  <si>
    <t>DVT_Screening</t>
  </si>
  <si>
    <t>Pulmonary_Embolism_CTPA</t>
  </si>
  <si>
    <t>Cardiac_MRI_LGE</t>
  </si>
  <si>
    <t>Native_T1_ms</t>
  </si>
  <si>
    <t>ECV_percent</t>
  </si>
  <si>
    <t>Diagnosis</t>
  </si>
  <si>
    <t>ICU_Admission</t>
  </si>
  <si>
    <t>Vasopressor_Use</t>
  </si>
  <si>
    <t>Inotrope_Use</t>
  </si>
  <si>
    <t>Mechanical_Circulatory_Support</t>
  </si>
  <si>
    <t>Emergency_PCI</t>
  </si>
  <si>
    <t>CABG_Referral</t>
  </si>
  <si>
    <t>Length_of_Stay_days</t>
  </si>
  <si>
    <t>Outcome</t>
  </si>
  <si>
    <t>Composite_Severe_Event</t>
  </si>
  <si>
    <t>CMVD-MAY26-001</t>
  </si>
  <si>
    <t>2026-05-13 16:30</t>
  </si>
  <si>
    <t>Male</t>
  </si>
  <si>
    <t>Malay</t>
  </si>
  <si>
    <t>Obesity class III</t>
  </si>
  <si>
    <t>No</t>
  </si>
  <si>
    <t>Yes</t>
  </si>
  <si>
    <t>Influenza-like illness</t>
  </si>
  <si>
    <t>IV</t>
  </si>
  <si>
    <t>Non-obstructive CAD</t>
  </si>
  <si>
    <t>Mild PAD</t>
  </si>
  <si>
    <t>Negative</t>
  </si>
  <si>
    <t>No PE</t>
  </si>
  <si>
    <t>Present</t>
  </si>
  <si>
    <t>Obesity-related cardiomyopathy</t>
  </si>
  <si>
    <t>None</t>
  </si>
  <si>
    <t>Discharged alive</t>
  </si>
  <si>
    <t>CMVD-MAY26-002</t>
  </si>
  <si>
    <t>2026-05-27 17:15</t>
  </si>
  <si>
    <t>Obesity class I</t>
  </si>
  <si>
    <t>COVID-like viral syndrome</t>
  </si>
  <si>
    <t>III</t>
  </si>
  <si>
    <t>Absent</t>
  </si>
  <si>
    <t>Step-down transfer</t>
  </si>
  <si>
    <t>CMVD-MAY26-003</t>
  </si>
  <si>
    <t>2026-05-22 22:00</t>
  </si>
  <si>
    <t>Others</t>
  </si>
  <si>
    <t>Upper respiratory tract infection</t>
  </si>
  <si>
    <t>Positive</t>
  </si>
  <si>
    <t>Myocarditis-like cardiomyopathy</t>
  </si>
  <si>
    <t>CMVD-MAY26-004</t>
  </si>
  <si>
    <t>2026-05-08 08:45</t>
  </si>
  <si>
    <t>Chinese</t>
  </si>
  <si>
    <t>Overweight</t>
  </si>
  <si>
    <t>Single-vessel obstructive CAD</t>
  </si>
  <si>
    <t>CMVD-MAY26-005</t>
  </si>
  <si>
    <t>2026-05-23 20:20</t>
  </si>
  <si>
    <t>Multi-vessel CAD</t>
  </si>
  <si>
    <t>Moderate PAD</t>
  </si>
  <si>
    <t>Inpatient mortality</t>
  </si>
  <si>
    <t>CMVD-MAY26-006</t>
  </si>
  <si>
    <t>2026-05-11 21:50</t>
  </si>
  <si>
    <t>Obesity class II</t>
  </si>
  <si>
    <t>II</t>
  </si>
  <si>
    <t>None/minimal CAD</t>
  </si>
  <si>
    <t>CMVD-MAY26-007</t>
  </si>
  <si>
    <t>2026-05-13 02:20</t>
  </si>
  <si>
    <t>Indian</t>
  </si>
  <si>
    <t>Dengue-like febrile illness</t>
  </si>
  <si>
    <t>Segmental/subsegmental PE</t>
  </si>
  <si>
    <t>Hypertensive cardiomyopathy</t>
  </si>
  <si>
    <t>CMVD-MAY26-008</t>
  </si>
  <si>
    <t>2026-05-10 04:10</t>
  </si>
  <si>
    <t>No recent infection</t>
  </si>
  <si>
    <t>Severe PAD</t>
  </si>
  <si>
    <t>CMVD-MAY26-009</t>
  </si>
  <si>
    <t>2026-05-02 15:50</t>
  </si>
  <si>
    <t>CMVD-MAY26-010</t>
  </si>
  <si>
    <t>2026-05-20 10:10</t>
  </si>
  <si>
    <t>Febrile gastroenteritis</t>
  </si>
  <si>
    <t>CMVD-MAY26-011</t>
  </si>
  <si>
    <t>2026-05-27 01:05</t>
  </si>
  <si>
    <t>Mixed cardiomyopathy with vascular disease</t>
  </si>
  <si>
    <t>CMVD-MAY26-012</t>
  </si>
  <si>
    <t>2026-05-17 15:10</t>
  </si>
  <si>
    <t>Dilated cardiomyopathy</t>
  </si>
  <si>
    <t>CMVD-MAY26-013</t>
  </si>
  <si>
    <t>2026-05-07 12:50</t>
  </si>
  <si>
    <t>CMVD-MAY26-014</t>
  </si>
  <si>
    <t>2026-05-22 10:45</t>
  </si>
  <si>
    <t>CMVD-MAY26-015</t>
  </si>
  <si>
    <t>2026-05-25 12:30</t>
  </si>
  <si>
    <t>Ischemic cardiomyopathy</t>
  </si>
  <si>
    <t>VA-ECMO</t>
  </si>
  <si>
    <t>CMVD-MAY26-016</t>
  </si>
  <si>
    <t>2026-05-06 04:30</t>
  </si>
  <si>
    <t>Skin/soft tissue infection</t>
  </si>
  <si>
    <t>CMVD-MAY26-017</t>
  </si>
  <si>
    <t>2026-05-27 01:30</t>
  </si>
  <si>
    <t>CMVD-MAY26-018</t>
  </si>
  <si>
    <t>2026-05-17 11:00</t>
  </si>
  <si>
    <t>Left main/triple-vessel pattern</t>
  </si>
  <si>
    <t>CMVD-MAY26-019</t>
  </si>
  <si>
    <t>2026-05-25 17:30</t>
  </si>
  <si>
    <t>CMVD-MAY26-020</t>
  </si>
  <si>
    <t>2026-05-05 21:00</t>
  </si>
  <si>
    <t>Indonesian</t>
  </si>
  <si>
    <t>CMVD-MAY26-021</t>
  </si>
  <si>
    <t>2026-05-06 03:45</t>
  </si>
  <si>
    <t>CMVD-MAY26-022</t>
  </si>
  <si>
    <t>2026-05-28 15:05</t>
  </si>
  <si>
    <t>CMVD-MAY26-023</t>
  </si>
  <si>
    <t>2026-05-13 16:10</t>
  </si>
  <si>
    <t>CMVD-MAY26-024</t>
  </si>
  <si>
    <t>2026-05-18 09:05</t>
  </si>
  <si>
    <t>CMVD-MAY26-025</t>
  </si>
  <si>
    <t>2026-05-23 13:05</t>
  </si>
  <si>
    <t>CMVD-MAY26-026</t>
  </si>
  <si>
    <t>2026-05-05 10:05</t>
  </si>
  <si>
    <t>CMVD-MAY26-027</t>
  </si>
  <si>
    <t>2026-05-02 17:10</t>
  </si>
  <si>
    <t>CMVD-MAY26-028</t>
  </si>
  <si>
    <t>2026-05-21 21:05</t>
  </si>
  <si>
    <t>CMVD-MAY26-029</t>
  </si>
  <si>
    <t>2026-05-18 14:00</t>
  </si>
  <si>
    <t>CMVD-MAY26-030</t>
  </si>
  <si>
    <t>2026-05-05 00:05</t>
  </si>
  <si>
    <t>CMVD-MAY26-031</t>
  </si>
  <si>
    <t>2026-05-30 07:30</t>
  </si>
  <si>
    <t>CMVD-MAY26-032</t>
  </si>
  <si>
    <t>2026-05-10 13:45</t>
  </si>
  <si>
    <t>CMVD-MAY26-033</t>
  </si>
  <si>
    <t>2026-05-16 15:05</t>
  </si>
  <si>
    <t>CMVD-MAY26-034</t>
  </si>
  <si>
    <t>2026-05-28 23:00</t>
  </si>
  <si>
    <t>CMVD-MAY26-035</t>
  </si>
  <si>
    <t>2026-05-12 18:05</t>
  </si>
  <si>
    <t>CMVD-MAY26-036</t>
  </si>
  <si>
    <t>2026-05-13 05:00</t>
  </si>
  <si>
    <t>CMVD-MAY26-037</t>
  </si>
  <si>
    <t>2026-05-19 02:00</t>
  </si>
  <si>
    <t>CMVD-MAY26-038</t>
  </si>
  <si>
    <t>2026-05-13 23:15</t>
  </si>
  <si>
    <t>CMVD-MAY26-039</t>
  </si>
  <si>
    <t>2026-05-19 16:10</t>
  </si>
  <si>
    <t>CMVD-MAY26-040</t>
  </si>
  <si>
    <t>2026-05-14 12:15</t>
  </si>
  <si>
    <t>CMVD-MAY26-041</t>
  </si>
  <si>
    <t>2026-05-25 02:45</t>
  </si>
  <si>
    <t>CMVD-MAY26-042</t>
  </si>
  <si>
    <t>2026-05-14 21:10</t>
  </si>
  <si>
    <t>CMVD-MAY26-043</t>
  </si>
  <si>
    <t>2026-05-29 15:00</t>
  </si>
  <si>
    <t>CMVD-MAY26-044</t>
  </si>
  <si>
    <t>2026-05-05 04:05</t>
  </si>
  <si>
    <t>CMVD-MAY26-045</t>
  </si>
  <si>
    <t>2026-05-13 16:20</t>
  </si>
  <si>
    <t>CMVD-MAY26-046</t>
  </si>
  <si>
    <t>2026-05-13 18:10</t>
  </si>
  <si>
    <t>CMVD-MAY26-047</t>
  </si>
  <si>
    <t>2026-05-30 11:05</t>
  </si>
  <si>
    <t>CMVD-MAY26-048</t>
  </si>
  <si>
    <t>2026-05-03 23:05</t>
  </si>
  <si>
    <t>Lobar PE</t>
  </si>
  <si>
    <t>CMVD-MAY26-049</t>
  </si>
  <si>
    <t>2026-05-18 20:10</t>
  </si>
  <si>
    <t>CMVD-MAY26-050</t>
  </si>
  <si>
    <t>2026-05-08 05:05</t>
  </si>
  <si>
    <t>CMVD-MAY26-051</t>
  </si>
  <si>
    <t>2026-05-06 03:30</t>
  </si>
  <si>
    <t>CMVD-MAY26-052</t>
  </si>
  <si>
    <t>2026-05-30 03:45</t>
  </si>
  <si>
    <t>CMVD-MAY26-053</t>
  </si>
  <si>
    <t>2026-05-26 02:10</t>
  </si>
  <si>
    <t>CMVD-MAY26-054</t>
  </si>
  <si>
    <t>2026-05-15 01:10</t>
  </si>
  <si>
    <t>CMVD-MAY26-055</t>
  </si>
  <si>
    <t>2026-05-15 04:45</t>
  </si>
  <si>
    <t>CMVD-MAY26-056</t>
  </si>
  <si>
    <t>2026-05-22 03:10</t>
  </si>
  <si>
    <t>CMVD-MAY26-057</t>
  </si>
  <si>
    <t>2026-05-28 13:00</t>
  </si>
  <si>
    <t>IABP</t>
  </si>
  <si>
    <t>CMVD-MAY26-058</t>
  </si>
  <si>
    <t>2026-05-23 04:10</t>
  </si>
  <si>
    <t>CMVD-MAY26-059</t>
  </si>
  <si>
    <t>2026-05-07 08:20</t>
  </si>
  <si>
    <t>CMVD-MAY26-060</t>
  </si>
  <si>
    <t>2026-05-29 13:30</t>
  </si>
  <si>
    <t>CMVD-MAY26-061</t>
  </si>
  <si>
    <t>2026-05-24 06:20</t>
  </si>
  <si>
    <t>CMVD-MAY26-062</t>
  </si>
  <si>
    <t>2026-05-04 05:15</t>
  </si>
  <si>
    <t>CMVD-MAY26-063</t>
  </si>
  <si>
    <t>2026-05-21 00:15</t>
  </si>
  <si>
    <t>CMVD-MAY26-064</t>
  </si>
  <si>
    <t>2026-05-09 05:20</t>
  </si>
  <si>
    <t>CMVD-MAY26-065</t>
  </si>
  <si>
    <t>2026-05-19 01:00</t>
  </si>
  <si>
    <t>CMVD-MAY26-066</t>
  </si>
  <si>
    <t>2026-05-27 18:05</t>
  </si>
  <si>
    <t>CMVD-MAY26-067</t>
  </si>
  <si>
    <t>2026-05-16 20:20</t>
  </si>
  <si>
    <t>CMVD-MAY26-068</t>
  </si>
  <si>
    <t>2026-05-23 23:05</t>
  </si>
  <si>
    <t>CMVD-MAY26-069</t>
  </si>
  <si>
    <t>2026-05-02 18:15</t>
  </si>
  <si>
    <t>CMVD-MAY26-070</t>
  </si>
  <si>
    <t>2026-05-27 00:15</t>
  </si>
  <si>
    <t>CMVD-MAY26-071</t>
  </si>
  <si>
    <t>2026-05-27 21:20</t>
  </si>
  <si>
    <t>CMVD-MAY26-072</t>
  </si>
  <si>
    <t>2026-05-04 03:15</t>
  </si>
  <si>
    <t>CMVD-MAY26-073</t>
  </si>
  <si>
    <t>2026-05-06 08:30</t>
  </si>
  <si>
    <t>CMVD-MAY26-074</t>
  </si>
  <si>
    <t>2026-05-23 06:05</t>
  </si>
  <si>
    <t>CMVD-MAY26-075</t>
  </si>
  <si>
    <t>2026-05-23 19:50</t>
  </si>
  <si>
    <t>CMVD-MAY26-076</t>
  </si>
  <si>
    <t>2026-05-30 13:50</t>
  </si>
  <si>
    <t>CMVD-MAY26-077</t>
  </si>
  <si>
    <t>2026-05-07 11:50</t>
  </si>
  <si>
    <t>CMVD-MAY26-078</t>
  </si>
  <si>
    <t>2026-05-07 07:30</t>
  </si>
  <si>
    <t>CMVD-MAY26-079</t>
  </si>
  <si>
    <t>2026-05-03 07:20</t>
  </si>
  <si>
    <t>CMVD-MAY26-080</t>
  </si>
  <si>
    <t>2026-05-25 17:45</t>
  </si>
  <si>
    <t>CMVD-MAY26-081</t>
  </si>
  <si>
    <t>2026-05-09 21:00</t>
  </si>
  <si>
    <t>Impella</t>
  </si>
  <si>
    <t>CMVD-MAY26-082</t>
  </si>
  <si>
    <t>2026-05-02 05:50</t>
  </si>
  <si>
    <t>CMVD-MAY26-083</t>
  </si>
  <si>
    <t>2026-05-19 00:00</t>
  </si>
  <si>
    <t>CMVD-MAY26-084</t>
  </si>
  <si>
    <t>2026-05-09 06:00</t>
  </si>
  <si>
    <t>CMVD-MAY26-085</t>
  </si>
  <si>
    <t>2026-05-14 04:10</t>
  </si>
  <si>
    <t>CMVD-MAY26-086</t>
  </si>
  <si>
    <t>2026-05-06 09:20</t>
  </si>
  <si>
    <t>CMVD-MAY26-087</t>
  </si>
  <si>
    <t>2026-05-01 11:50</t>
  </si>
  <si>
    <t>CMVD-MAY26-088</t>
  </si>
  <si>
    <t>CMVD-MAY26-089</t>
  </si>
  <si>
    <t>2026-05-16 12:00</t>
  </si>
  <si>
    <t>CMVD-MAY26-090</t>
  </si>
  <si>
    <t>2026-05-13 09:30</t>
  </si>
  <si>
    <t>CMVD-MAY26-091</t>
  </si>
  <si>
    <t>2026-05-09 04:05</t>
  </si>
  <si>
    <t>CMVD-MAY26-092</t>
  </si>
  <si>
    <t>2026-05-05 21:05</t>
  </si>
  <si>
    <t>CMVD-MAY26-093</t>
  </si>
  <si>
    <t>2026-05-12 04:15</t>
  </si>
  <si>
    <t>CMVD-MAY26-094</t>
  </si>
  <si>
    <t>2026-05-02 16:05</t>
  </si>
  <si>
    <t>CMVD-MAY26-095</t>
  </si>
  <si>
    <t>2026-05-09 17:15</t>
  </si>
  <si>
    <t>CMVD-MAY26-096</t>
  </si>
  <si>
    <t>2026-05-06 03:10</t>
  </si>
  <si>
    <t>CMVD-MAY26-097</t>
  </si>
  <si>
    <t>2026-05-05 23:50</t>
  </si>
  <si>
    <t>CMVD-MAY26-098</t>
  </si>
  <si>
    <t>2026-05-27 22:00</t>
  </si>
  <si>
    <t>CMVD-MAY26-099</t>
  </si>
  <si>
    <t>2026-05-03 17:50</t>
  </si>
  <si>
    <t>CMVD-MAY26-100</t>
  </si>
  <si>
    <t>2026-05-24 00:50</t>
  </si>
  <si>
    <t>Dataset title</t>
  </si>
  <si>
    <t>Emergency cardiomyopathy and obesity-associated vascular disease among overweight men, May 2026</t>
  </si>
  <si>
    <t>Records</t>
  </si>
  <si>
    <t>100</t>
  </si>
  <si>
    <t>Purpose</t>
  </si>
  <si>
    <t>Primary endpoint</t>
  </si>
  <si>
    <t>Composite severe event: ICU admission, vasopressor use, mechanical circulatory support, or inpatient mortality.</t>
  </si>
  <si>
    <t>Metric</t>
  </si>
  <si>
    <t>Value</t>
  </si>
  <si>
    <t>Total records</t>
  </si>
  <si>
    <t>Mean age</t>
  </si>
  <si>
    <t>Mean BMI</t>
  </si>
  <si>
    <t>Mean LVEF</t>
  </si>
  <si>
    <t>ICU admissions</t>
  </si>
  <si>
    <t>Composite severe events</t>
  </si>
  <si>
    <t>Observed tertiary cardiac referral pathway</t>
  </si>
  <si>
    <t>Dataset for research training and manuscript prototyping; no real patient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</si>
</sst>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MVD_May2026_Table" displayName="CMVD_May2026_Table" ref="A1:CC101">
  <tableColumns count="81">
    <tableColumn id="1" xr3:uid="{00000000-0010-0000-0000-000001000000}" name="Record_ID"/>
    <tableColumn id="2" xr3:uid="{00000000-0010-0000-0000-000002000000}" name="ED_Arrival_Date"/>
    <tableColumn id="3" xr3:uid="{00000000-0010-0000-0000-000003000000}" name="Referral_Pathway"/>
    <tableColumn id="4" xr3:uid="{00000000-0010-0000-0000-000004000000}" name="Patient_Sex"/>
    <tableColumn id="5" xr3:uid="{00000000-0010-0000-0000-000005000000}" name="Age_years"/>
    <tableColumn id="6" xr3:uid="{00000000-0010-0000-0000-000006000000}" name="Ethnicity"/>
    <tableColumn id="7" xr3:uid="{00000000-0010-0000-0000-000007000000}" name="Weight_kg"/>
    <tableColumn id="8" xr3:uid="{00000000-0010-0000-0000-000008000000}" name="Height_cm"/>
    <tableColumn id="9" xr3:uid="{00000000-0010-0000-0000-000009000000}" name="BMI_kg_m2"/>
    <tableColumn id="10" xr3:uid="{00000000-0010-0000-0000-00000A000000}" name="Waist_cm"/>
    <tableColumn id="11" xr3:uid="{00000000-0010-0000-0000-00000B000000}" name="BMI_Class"/>
    <tableColumn id="12" xr3:uid="{00000000-0010-0000-0000-00000C000000}" name="Current_Smoker"/>
    <tableColumn id="13" xr3:uid="{00000000-0010-0000-0000-00000D000000}" name="Hypertension"/>
    <tableColumn id="14" xr3:uid="{00000000-0010-0000-0000-00000E000000}" name="Diabetes_Mellitus"/>
    <tableColumn id="15" xr3:uid="{00000000-0010-0000-0000-00000F000000}" name="Dyslipidemia"/>
    <tableColumn id="16" xr3:uid="{00000000-0010-0000-0000-000010000000}" name="Recent_Illness_30d"/>
    <tableColumn id="17" xr3:uid="{00000000-0010-0000-0000-000011000000}" name="Days_Since_Illness"/>
    <tableColumn id="18" xr3:uid="{00000000-0010-0000-0000-000012000000}" name="Fever_On_Arrival"/>
    <tableColumn id="19" xr3:uid="{00000000-0010-0000-0000-000013000000}" name="Chest_Pain"/>
    <tableColumn id="20" xr3:uid="{00000000-0010-0000-0000-000014000000}" name="Dyspnea_NYHA"/>
    <tableColumn id="21" xr3:uid="{00000000-0010-0000-0000-000015000000}" name="SBP_mmHg"/>
    <tableColumn id="22" xr3:uid="{00000000-0010-0000-0000-000016000000}" name="DBP_mmHg"/>
    <tableColumn id="23" xr3:uid="{00000000-0010-0000-0000-000017000000}" name="MAP_mmHg"/>
    <tableColumn id="24" xr3:uid="{00000000-0010-0000-0000-000018000000}" name="Heart_Rate_bpm"/>
    <tableColumn id="25" xr3:uid="{00000000-0010-0000-0000-000019000000}" name="SpO2_percent"/>
    <tableColumn id="26" xr3:uid="{00000000-0010-0000-0000-00001A000000}" name="Troponin_I_0h_ng_L"/>
    <tableColumn id="27" xr3:uid="{00000000-0010-0000-0000-00001B000000}" name="Troponin_I_3h_ng_L"/>
    <tableColumn id="28" xr3:uid="{00000000-0010-0000-0000-00001C000000}" name="Troponin_Delta_ng_L"/>
    <tableColumn id="29" xr3:uid="{00000000-0010-0000-0000-00001D000000}" name="NTproBNP_pg_mL"/>
    <tableColumn id="30" xr3:uid="{00000000-0010-0000-0000-00001E000000}" name="CK_MB_ng_mL"/>
    <tableColumn id="31" xr3:uid="{00000000-0010-0000-0000-00001F000000}" name="D_Dimer_ng_mL"/>
    <tableColumn id="32" xr3:uid="{00000000-0010-0000-0000-000020000000}" name="hsCRP_mg_L"/>
    <tableColumn id="33" xr3:uid="{00000000-0010-0000-0000-000021000000}" name="ESR_mm_hr"/>
    <tableColumn id="34" xr3:uid="{00000000-0010-0000-0000-000022000000}" name="Ferritin_ng_mL"/>
    <tableColumn id="35" xr3:uid="{00000000-0010-0000-0000-000023000000}" name="IL6_pg_mL"/>
    <tableColumn id="36" xr3:uid="{00000000-0010-0000-0000-000024000000}" name="HbA1c_percent"/>
    <tableColumn id="37" xr3:uid="{00000000-0010-0000-0000-000025000000}" name="Fasting_Glucose_mmol_L"/>
    <tableColumn id="38" xr3:uid="{00000000-0010-0000-0000-000026000000}" name="LDL_mg_dL"/>
    <tableColumn id="39" xr3:uid="{00000000-0010-0000-0000-000027000000}" name="HDL_mg_dL"/>
    <tableColumn id="40" xr3:uid="{00000000-0010-0000-0000-000028000000}" name="Triglycerides_mg_dL"/>
    <tableColumn id="41" xr3:uid="{00000000-0010-0000-0000-000029000000}" name="Creatinine_umol_L"/>
    <tableColumn id="42" xr3:uid="{00000000-0010-0000-0000-00002A000000}" name="eGFR_mL_min_1_73m2"/>
    <tableColumn id="43" xr3:uid="{00000000-0010-0000-0000-00002B000000}" name="Urea_mmol_L"/>
    <tableColumn id="44" xr3:uid="{00000000-0010-0000-0000-00002C000000}" name="Sodium_mmol_L"/>
    <tableColumn id="45" xr3:uid="{00000000-0010-0000-0000-00002D000000}" name="Potassium_mmol_L"/>
    <tableColumn id="46" xr3:uid="{00000000-0010-0000-0000-00002E000000}" name="ALT_U_L"/>
    <tableColumn id="47" xr3:uid="{00000000-0010-0000-0000-00002F000000}" name="AST_U_L"/>
    <tableColumn id="48" xr3:uid="{00000000-0010-0000-0000-000030000000}" name="Albumin_g_L"/>
    <tableColumn id="49" xr3:uid="{00000000-0010-0000-0000-000031000000}" name="Lactate_mmol_L"/>
    <tableColumn id="50" xr3:uid="{00000000-0010-0000-0000-000032000000}" name="WBC_10e9_L"/>
    <tableColumn id="51" xr3:uid="{00000000-0010-0000-0000-000033000000}" name="Neutrophil_Lymphocyte_Ratio"/>
    <tableColumn id="52" xr3:uid="{00000000-0010-0000-0000-000034000000}" name="Hemoglobin_g_dL"/>
    <tableColumn id="53" xr3:uid="{00000000-0010-0000-0000-000035000000}" name="Platelets_10e9_L"/>
    <tableColumn id="54" xr3:uid="{00000000-0010-0000-0000-000036000000}" name="LVEF_percent"/>
    <tableColumn id="55" xr3:uid="{00000000-0010-0000-0000-000037000000}" name="LVEDD_mm"/>
    <tableColumn id="56" xr3:uid="{00000000-0010-0000-0000-000038000000}" name="LVMI_g_m2"/>
    <tableColumn id="57" xr3:uid="{00000000-0010-0000-0000-000039000000}" name="E_e_prime"/>
    <tableColumn id="58" xr3:uid="{00000000-0010-0000-0000-00003A000000}" name="RV_Dysfunction"/>
    <tableColumn id="59" xr3:uid="{00000000-0010-0000-0000-00003B000000}" name="PASP_mmHg"/>
    <tableColumn id="60" xr3:uid="{00000000-0010-0000-0000-00003C000000}" name="LA_Volume_Index_mL_m2"/>
    <tableColumn id="61" xr3:uid="{00000000-0010-0000-0000-00003D000000}" name="Global_Longitudinal_Strain_percent"/>
    <tableColumn id="62" xr3:uid="{00000000-0010-0000-0000-00003E000000}" name="Coronary_CTA_Result"/>
    <tableColumn id="63" xr3:uid="{00000000-0010-0000-0000-00003F000000}" name="Coronary_Calcium_Score"/>
    <tableColumn id="64" xr3:uid="{00000000-0010-0000-0000-000040000000}" name="Carotid_Stenosis_percent"/>
    <tableColumn id="65" xr3:uid="{00000000-0010-0000-0000-000041000000}" name="ABI"/>
    <tableColumn id="66" xr3:uid="{00000000-0010-0000-0000-000042000000}" name="Peripheral_Vascular_Disease"/>
    <tableColumn id="67" xr3:uid="{00000000-0010-0000-0000-000043000000}" name="DVT_Screening"/>
    <tableColumn id="68" xr3:uid="{00000000-0010-0000-0000-000044000000}" name="Pulmonary_Embolism_CTPA"/>
    <tableColumn id="69" xr3:uid="{00000000-0010-0000-0000-000045000000}" name="Cardiac_MRI_LGE"/>
    <tableColumn id="70" xr3:uid="{00000000-0010-0000-0000-000046000000}" name="Native_T1_ms"/>
    <tableColumn id="71" xr3:uid="{00000000-0010-0000-0000-000047000000}" name="ECV_percent"/>
    <tableColumn id="72" xr3:uid="{00000000-0010-0000-0000-000048000000}" name="Diagnosis"/>
    <tableColumn id="73" xr3:uid="{00000000-0010-0000-0000-000049000000}" name="ICU_Admission"/>
    <tableColumn id="74" xr3:uid="{00000000-0010-0000-0000-00004A000000}" name="Vasopressor_Use"/>
    <tableColumn id="75" xr3:uid="{00000000-0010-0000-0000-00004B000000}" name="Inotrope_Use"/>
    <tableColumn id="76" xr3:uid="{00000000-0010-0000-0000-00004C000000}" name="Mechanical_Circulatory_Support"/>
    <tableColumn id="77" xr3:uid="{00000000-0010-0000-0000-00004D000000}" name="Emergency_PCI"/>
    <tableColumn id="78" xr3:uid="{00000000-0010-0000-0000-00004E000000}" name="CABG_Referral"/>
    <tableColumn id="79" xr3:uid="{00000000-0010-0000-0000-00004F000000}" name="Length_of_Stay_days"/>
    <tableColumn id="80" xr3:uid="{00000000-0010-0000-0000-000050000000}" name="Outcome"/>
    <tableColumn id="81" xr3:uid="{00000000-0010-0000-0000-000051000000}" name="Composite_Severe_Ev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01"/>
  <sheetViews>
    <sheetView tabSelected="1" workbookViewId="0">
      <selection activeCell="F12" sqref="F12"/>
    </sheetView>
  </sheetViews>
  <sheetFormatPr baseColWidth="10" defaultColWidth="8.83203125" defaultRowHeight="15"/>
  <cols>
    <col min="1" max="2" width="18" customWidth="1"/>
    <col min="3" max="3" width="34" customWidth="1"/>
  </cols>
  <sheetData>
    <row r="1" spans="1:81" ht="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t="s">
        <v>78</v>
      </c>
      <c r="CB1" t="s">
        <v>79</v>
      </c>
      <c r="CC1" t="s">
        <v>80</v>
      </c>
    </row>
    <row r="2" spans="1:81">
      <c r="A2" t="s">
        <v>81</v>
      </c>
      <c r="B2" t="s">
        <v>82</v>
      </c>
      <c r="C2" t="s">
        <v>345</v>
      </c>
      <c r="D2" t="s">
        <v>83</v>
      </c>
      <c r="E2">
        <v>33</v>
      </c>
      <c r="F2" t="s">
        <v>84</v>
      </c>
      <c r="G2">
        <v>115.7</v>
      </c>
      <c r="H2">
        <v>164</v>
      </c>
      <c r="I2">
        <v>43</v>
      </c>
      <c r="J2">
        <v>116.2</v>
      </c>
      <c r="K2" t="s">
        <v>85</v>
      </c>
      <c r="L2" t="s">
        <v>86</v>
      </c>
      <c r="M2" t="s">
        <v>87</v>
      </c>
      <c r="N2" t="s">
        <v>86</v>
      </c>
      <c r="O2" t="s">
        <v>87</v>
      </c>
      <c r="P2" t="s">
        <v>88</v>
      </c>
      <c r="Q2">
        <v>11</v>
      </c>
      <c r="R2" t="s">
        <v>86</v>
      </c>
      <c r="S2" t="s">
        <v>87</v>
      </c>
      <c r="T2" t="s">
        <v>89</v>
      </c>
      <c r="U2">
        <v>83</v>
      </c>
      <c r="V2">
        <v>63</v>
      </c>
      <c r="W2">
        <v>69.7</v>
      </c>
      <c r="X2">
        <v>85</v>
      </c>
      <c r="Y2">
        <v>88</v>
      </c>
      <c r="Z2">
        <v>1064</v>
      </c>
      <c r="AA2">
        <v>1499</v>
      </c>
      <c r="AB2">
        <v>435</v>
      </c>
      <c r="AC2">
        <v>7816</v>
      </c>
      <c r="AD2">
        <v>23.4</v>
      </c>
      <c r="AE2">
        <v>5830</v>
      </c>
      <c r="AF2">
        <v>84.7</v>
      </c>
      <c r="AG2">
        <v>40</v>
      </c>
      <c r="AH2">
        <v>444</v>
      </c>
      <c r="AI2">
        <v>62.2</v>
      </c>
      <c r="AJ2">
        <v>5.4</v>
      </c>
      <c r="AK2">
        <v>5.8</v>
      </c>
      <c r="AL2">
        <v>169</v>
      </c>
      <c r="AM2">
        <v>25.2</v>
      </c>
      <c r="AN2">
        <v>274</v>
      </c>
      <c r="AO2">
        <v>129</v>
      </c>
      <c r="AP2">
        <v>89</v>
      </c>
      <c r="AQ2">
        <v>7.6</v>
      </c>
      <c r="AR2">
        <v>136</v>
      </c>
      <c r="AS2">
        <v>4.5</v>
      </c>
      <c r="AT2">
        <v>47</v>
      </c>
      <c r="AU2">
        <v>15</v>
      </c>
      <c r="AV2">
        <v>29.8</v>
      </c>
      <c r="AW2">
        <v>3.2</v>
      </c>
      <c r="AX2">
        <v>10.199999999999999</v>
      </c>
      <c r="AY2">
        <v>6.5</v>
      </c>
      <c r="AZ2">
        <v>15.4</v>
      </c>
      <c r="BA2">
        <v>284</v>
      </c>
      <c r="BB2">
        <v>30</v>
      </c>
      <c r="BC2">
        <v>73</v>
      </c>
      <c r="BD2">
        <v>141</v>
      </c>
      <c r="BE2">
        <v>8.3000000000000007</v>
      </c>
      <c r="BF2" t="s">
        <v>87</v>
      </c>
      <c r="BG2">
        <v>43</v>
      </c>
      <c r="BH2">
        <v>41.7</v>
      </c>
      <c r="BI2">
        <v>-11.7</v>
      </c>
      <c r="BJ2" t="s">
        <v>90</v>
      </c>
      <c r="BK2">
        <v>145</v>
      </c>
      <c r="BL2">
        <v>25</v>
      </c>
      <c r="BM2">
        <v>0.99</v>
      </c>
      <c r="BN2" t="s">
        <v>91</v>
      </c>
      <c r="BO2" t="s">
        <v>92</v>
      </c>
      <c r="BP2" t="s">
        <v>93</v>
      </c>
      <c r="BQ2" t="s">
        <v>94</v>
      </c>
      <c r="BR2">
        <v>1178</v>
      </c>
      <c r="BS2">
        <v>38.200000000000003</v>
      </c>
      <c r="BT2" t="s">
        <v>95</v>
      </c>
      <c r="BU2" t="s">
        <v>87</v>
      </c>
      <c r="BV2" t="s">
        <v>87</v>
      </c>
      <c r="BW2" t="s">
        <v>87</v>
      </c>
      <c r="BX2" t="s">
        <v>96</v>
      </c>
      <c r="BY2" t="s">
        <v>86</v>
      </c>
      <c r="BZ2" t="s">
        <v>86</v>
      </c>
      <c r="CA2">
        <v>15</v>
      </c>
      <c r="CB2" t="s">
        <v>97</v>
      </c>
      <c r="CC2" t="s">
        <v>87</v>
      </c>
    </row>
    <row r="3" spans="1:81">
      <c r="A3" t="s">
        <v>98</v>
      </c>
      <c r="B3" t="s">
        <v>99</v>
      </c>
      <c r="C3" t="s">
        <v>345</v>
      </c>
      <c r="D3" t="s">
        <v>83</v>
      </c>
      <c r="E3">
        <v>28</v>
      </c>
      <c r="F3" t="s">
        <v>84</v>
      </c>
      <c r="G3">
        <v>110</v>
      </c>
      <c r="H3">
        <v>182</v>
      </c>
      <c r="I3">
        <v>33.200000000000003</v>
      </c>
      <c r="J3">
        <v>103.7</v>
      </c>
      <c r="K3" t="s">
        <v>100</v>
      </c>
      <c r="L3" t="s">
        <v>87</v>
      </c>
      <c r="M3" t="s">
        <v>86</v>
      </c>
      <c r="N3" t="s">
        <v>86</v>
      </c>
      <c r="O3" t="s">
        <v>87</v>
      </c>
      <c r="P3" t="s">
        <v>101</v>
      </c>
      <c r="Q3">
        <v>24</v>
      </c>
      <c r="R3" t="s">
        <v>86</v>
      </c>
      <c r="S3" t="s">
        <v>87</v>
      </c>
      <c r="T3" t="s">
        <v>102</v>
      </c>
      <c r="U3">
        <v>135</v>
      </c>
      <c r="V3">
        <v>73</v>
      </c>
      <c r="W3">
        <v>93.7</v>
      </c>
      <c r="X3">
        <v>149</v>
      </c>
      <c r="Y3">
        <v>92</v>
      </c>
      <c r="Z3">
        <v>1747</v>
      </c>
      <c r="AA3">
        <v>2948</v>
      </c>
      <c r="AB3">
        <v>1201</v>
      </c>
      <c r="AC3">
        <v>20578</v>
      </c>
      <c r="AD3">
        <v>15.1</v>
      </c>
      <c r="AE3">
        <v>7923</v>
      </c>
      <c r="AF3">
        <v>34.700000000000003</v>
      </c>
      <c r="AG3">
        <v>61</v>
      </c>
      <c r="AH3">
        <v>401</v>
      </c>
      <c r="AI3">
        <v>44.9</v>
      </c>
      <c r="AJ3">
        <v>5.6</v>
      </c>
      <c r="AK3">
        <v>6.8</v>
      </c>
      <c r="AL3">
        <v>132</v>
      </c>
      <c r="AM3">
        <v>32.9</v>
      </c>
      <c r="AN3">
        <v>257</v>
      </c>
      <c r="AO3">
        <v>149</v>
      </c>
      <c r="AP3">
        <v>85</v>
      </c>
      <c r="AQ3">
        <v>6.2</v>
      </c>
      <c r="AR3">
        <v>137.19999999999999</v>
      </c>
      <c r="AS3">
        <v>5.0999999999999996</v>
      </c>
      <c r="AT3">
        <v>65</v>
      </c>
      <c r="AU3">
        <v>16</v>
      </c>
      <c r="AV3">
        <v>28.5</v>
      </c>
      <c r="AW3">
        <v>1</v>
      </c>
      <c r="AX3">
        <v>15.6</v>
      </c>
      <c r="AY3">
        <v>9.9</v>
      </c>
      <c r="AZ3">
        <v>15.5</v>
      </c>
      <c r="BA3">
        <v>263</v>
      </c>
      <c r="BB3">
        <v>35</v>
      </c>
      <c r="BC3">
        <v>70</v>
      </c>
      <c r="BD3">
        <v>114</v>
      </c>
      <c r="BE3">
        <v>15.5</v>
      </c>
      <c r="BF3" t="s">
        <v>86</v>
      </c>
      <c r="BG3">
        <v>46</v>
      </c>
      <c r="BH3">
        <v>43.4</v>
      </c>
      <c r="BI3">
        <v>-11.4</v>
      </c>
      <c r="BJ3" t="s">
        <v>90</v>
      </c>
      <c r="BK3">
        <v>0</v>
      </c>
      <c r="BL3">
        <v>15</v>
      </c>
      <c r="BM3">
        <v>1.07</v>
      </c>
      <c r="BN3" t="s">
        <v>96</v>
      </c>
      <c r="BO3" t="s">
        <v>92</v>
      </c>
      <c r="BP3" t="s">
        <v>93</v>
      </c>
      <c r="BQ3" t="s">
        <v>103</v>
      </c>
      <c r="BR3">
        <v>1096</v>
      </c>
      <c r="BS3">
        <v>25.9</v>
      </c>
      <c r="BT3" t="s">
        <v>95</v>
      </c>
      <c r="BU3" t="s">
        <v>87</v>
      </c>
      <c r="BV3" t="s">
        <v>87</v>
      </c>
      <c r="BW3" t="s">
        <v>86</v>
      </c>
      <c r="BX3" t="s">
        <v>96</v>
      </c>
      <c r="BY3" t="s">
        <v>86</v>
      </c>
      <c r="BZ3" t="s">
        <v>86</v>
      </c>
      <c r="CA3">
        <v>13</v>
      </c>
      <c r="CB3" t="s">
        <v>104</v>
      </c>
      <c r="CC3" t="s">
        <v>87</v>
      </c>
    </row>
    <row r="4" spans="1:81">
      <c r="A4" t="s">
        <v>105</v>
      </c>
      <c r="B4" t="s">
        <v>106</v>
      </c>
      <c r="C4" t="s">
        <v>345</v>
      </c>
      <c r="D4" t="s">
        <v>83</v>
      </c>
      <c r="E4">
        <v>47</v>
      </c>
      <c r="F4" t="s">
        <v>107</v>
      </c>
      <c r="G4">
        <v>90.1</v>
      </c>
      <c r="H4">
        <v>171</v>
      </c>
      <c r="I4">
        <v>30.8</v>
      </c>
      <c r="J4">
        <v>99.9</v>
      </c>
      <c r="K4" t="s">
        <v>100</v>
      </c>
      <c r="L4" t="s">
        <v>87</v>
      </c>
      <c r="M4" t="s">
        <v>87</v>
      </c>
      <c r="N4" t="s">
        <v>86</v>
      </c>
      <c r="O4" t="s">
        <v>87</v>
      </c>
      <c r="P4" t="s">
        <v>108</v>
      </c>
      <c r="Q4">
        <v>22</v>
      </c>
      <c r="R4" t="s">
        <v>87</v>
      </c>
      <c r="S4" t="s">
        <v>86</v>
      </c>
      <c r="T4" t="s">
        <v>89</v>
      </c>
      <c r="U4">
        <v>103</v>
      </c>
      <c r="V4">
        <v>93</v>
      </c>
      <c r="W4">
        <v>96.3</v>
      </c>
      <c r="X4">
        <v>89</v>
      </c>
      <c r="Y4">
        <v>90</v>
      </c>
      <c r="Z4">
        <v>1642</v>
      </c>
      <c r="AA4">
        <v>1801</v>
      </c>
      <c r="AB4">
        <v>159</v>
      </c>
      <c r="AC4">
        <v>7879</v>
      </c>
      <c r="AD4">
        <v>9.9</v>
      </c>
      <c r="AE4">
        <v>713</v>
      </c>
      <c r="AF4">
        <v>96.6</v>
      </c>
      <c r="AG4">
        <v>48</v>
      </c>
      <c r="AH4">
        <v>343</v>
      </c>
      <c r="AI4">
        <v>132.5</v>
      </c>
      <c r="AJ4">
        <v>6.1</v>
      </c>
      <c r="AK4">
        <v>6.7</v>
      </c>
      <c r="AL4">
        <v>146</v>
      </c>
      <c r="AM4">
        <v>24</v>
      </c>
      <c r="AN4">
        <v>112</v>
      </c>
      <c r="AO4">
        <v>77</v>
      </c>
      <c r="AP4">
        <v>106</v>
      </c>
      <c r="AQ4">
        <v>10.6</v>
      </c>
      <c r="AR4">
        <v>134.30000000000001</v>
      </c>
      <c r="AS4">
        <v>4.0999999999999996</v>
      </c>
      <c r="AT4">
        <v>14</v>
      </c>
      <c r="AU4">
        <v>15</v>
      </c>
      <c r="AV4">
        <v>37</v>
      </c>
      <c r="AW4">
        <v>2.1</v>
      </c>
      <c r="AX4">
        <v>13.1</v>
      </c>
      <c r="AY4">
        <v>7.1</v>
      </c>
      <c r="AZ4">
        <v>14.8</v>
      </c>
      <c r="BA4">
        <v>235</v>
      </c>
      <c r="BB4">
        <v>12</v>
      </c>
      <c r="BC4">
        <v>63</v>
      </c>
      <c r="BD4">
        <v>184</v>
      </c>
      <c r="BE4">
        <v>29</v>
      </c>
      <c r="BF4" t="s">
        <v>87</v>
      </c>
      <c r="BG4">
        <v>44</v>
      </c>
      <c r="BH4">
        <v>39.1</v>
      </c>
      <c r="BI4">
        <v>-10</v>
      </c>
      <c r="BJ4" t="s">
        <v>90</v>
      </c>
      <c r="BK4">
        <v>1338</v>
      </c>
      <c r="BL4">
        <v>17</v>
      </c>
      <c r="BM4">
        <v>0.9</v>
      </c>
      <c r="BN4" t="s">
        <v>91</v>
      </c>
      <c r="BO4" t="s">
        <v>109</v>
      </c>
      <c r="BP4" t="s">
        <v>93</v>
      </c>
      <c r="BQ4" t="s">
        <v>103</v>
      </c>
      <c r="BR4">
        <v>1004</v>
      </c>
      <c r="BS4">
        <v>30.3</v>
      </c>
      <c r="BT4" t="s">
        <v>110</v>
      </c>
      <c r="BU4" t="s">
        <v>87</v>
      </c>
      <c r="BV4" t="s">
        <v>86</v>
      </c>
      <c r="BW4" t="s">
        <v>87</v>
      </c>
      <c r="BX4" t="s">
        <v>96</v>
      </c>
      <c r="BY4" t="s">
        <v>86</v>
      </c>
      <c r="BZ4" t="s">
        <v>86</v>
      </c>
      <c r="CA4">
        <v>15</v>
      </c>
      <c r="CB4" t="s">
        <v>97</v>
      </c>
      <c r="CC4" t="s">
        <v>87</v>
      </c>
    </row>
    <row r="5" spans="1:81">
      <c r="A5" t="s">
        <v>111</v>
      </c>
      <c r="B5" t="s">
        <v>112</v>
      </c>
      <c r="C5" t="s">
        <v>345</v>
      </c>
      <c r="D5" t="s">
        <v>83</v>
      </c>
      <c r="E5">
        <v>40</v>
      </c>
      <c r="F5" t="s">
        <v>113</v>
      </c>
      <c r="G5">
        <v>86.7</v>
      </c>
      <c r="H5">
        <v>183</v>
      </c>
      <c r="I5">
        <v>25.9</v>
      </c>
      <c r="J5">
        <v>86.7</v>
      </c>
      <c r="K5" t="s">
        <v>114</v>
      </c>
      <c r="L5" t="s">
        <v>86</v>
      </c>
      <c r="M5" t="s">
        <v>87</v>
      </c>
      <c r="N5" t="s">
        <v>86</v>
      </c>
      <c r="O5" t="s">
        <v>86</v>
      </c>
      <c r="P5" t="s">
        <v>101</v>
      </c>
      <c r="Q5">
        <v>7</v>
      </c>
      <c r="R5" t="s">
        <v>87</v>
      </c>
      <c r="S5" t="s">
        <v>86</v>
      </c>
      <c r="T5" t="s">
        <v>102</v>
      </c>
      <c r="U5">
        <v>144</v>
      </c>
      <c r="V5">
        <v>59</v>
      </c>
      <c r="W5">
        <v>87.3</v>
      </c>
      <c r="X5">
        <v>150</v>
      </c>
      <c r="Y5">
        <v>93</v>
      </c>
      <c r="Z5">
        <v>2004</v>
      </c>
      <c r="AA5">
        <v>1946</v>
      </c>
      <c r="AB5">
        <v>-58</v>
      </c>
      <c r="AC5">
        <v>8230</v>
      </c>
      <c r="AD5">
        <v>21.8</v>
      </c>
      <c r="AE5">
        <v>2161</v>
      </c>
      <c r="AF5">
        <v>47.4</v>
      </c>
      <c r="AG5">
        <v>62</v>
      </c>
      <c r="AH5">
        <v>1299</v>
      </c>
      <c r="AI5">
        <v>15.7</v>
      </c>
      <c r="AJ5">
        <v>5.8</v>
      </c>
      <c r="AK5">
        <v>5.2</v>
      </c>
      <c r="AL5">
        <v>120</v>
      </c>
      <c r="AM5">
        <v>52.3</v>
      </c>
      <c r="AN5">
        <v>113</v>
      </c>
      <c r="AO5">
        <v>116</v>
      </c>
      <c r="AP5">
        <v>79</v>
      </c>
      <c r="AQ5">
        <v>9.5</v>
      </c>
      <c r="AR5">
        <v>138.30000000000001</v>
      </c>
      <c r="AS5">
        <v>4.2</v>
      </c>
      <c r="AT5">
        <v>37</v>
      </c>
      <c r="AU5">
        <v>84</v>
      </c>
      <c r="AV5">
        <v>35.4</v>
      </c>
      <c r="AW5">
        <v>1.7</v>
      </c>
      <c r="AX5">
        <v>12.8</v>
      </c>
      <c r="AY5">
        <v>4.7</v>
      </c>
      <c r="AZ5">
        <v>11.9</v>
      </c>
      <c r="BA5">
        <v>388</v>
      </c>
      <c r="BB5">
        <v>26</v>
      </c>
      <c r="BC5">
        <v>56</v>
      </c>
      <c r="BD5">
        <v>140</v>
      </c>
      <c r="BE5">
        <v>23.2</v>
      </c>
      <c r="BF5" t="s">
        <v>87</v>
      </c>
      <c r="BG5">
        <v>49</v>
      </c>
      <c r="BH5">
        <v>58</v>
      </c>
      <c r="BI5">
        <v>-12.5</v>
      </c>
      <c r="BJ5" t="s">
        <v>115</v>
      </c>
      <c r="BK5">
        <v>1829</v>
      </c>
      <c r="BL5">
        <v>37</v>
      </c>
      <c r="BM5">
        <v>0.98</v>
      </c>
      <c r="BN5" t="s">
        <v>96</v>
      </c>
      <c r="BO5" t="s">
        <v>92</v>
      </c>
      <c r="BP5" t="s">
        <v>93</v>
      </c>
      <c r="BQ5" t="s">
        <v>103</v>
      </c>
      <c r="BR5">
        <v>984</v>
      </c>
      <c r="BS5">
        <v>30</v>
      </c>
      <c r="BT5" t="s">
        <v>110</v>
      </c>
      <c r="BU5" t="s">
        <v>87</v>
      </c>
      <c r="BV5" t="s">
        <v>87</v>
      </c>
      <c r="BW5" t="s">
        <v>86</v>
      </c>
      <c r="BX5" t="s">
        <v>96</v>
      </c>
      <c r="BY5" t="s">
        <v>86</v>
      </c>
      <c r="BZ5" t="s">
        <v>86</v>
      </c>
      <c r="CA5">
        <v>13</v>
      </c>
      <c r="CB5" t="s">
        <v>104</v>
      </c>
      <c r="CC5" t="s">
        <v>87</v>
      </c>
    </row>
    <row r="6" spans="1:81">
      <c r="A6" t="s">
        <v>116</v>
      </c>
      <c r="B6" t="s">
        <v>117</v>
      </c>
      <c r="C6" t="s">
        <v>345</v>
      </c>
      <c r="D6" t="s">
        <v>83</v>
      </c>
      <c r="E6">
        <v>64</v>
      </c>
      <c r="F6" t="s">
        <v>107</v>
      </c>
      <c r="G6">
        <v>88.1</v>
      </c>
      <c r="H6">
        <v>179</v>
      </c>
      <c r="I6">
        <v>27.5</v>
      </c>
      <c r="J6">
        <v>89.1</v>
      </c>
      <c r="K6" t="s">
        <v>114</v>
      </c>
      <c r="L6" t="s">
        <v>86</v>
      </c>
      <c r="M6" t="s">
        <v>86</v>
      </c>
      <c r="N6" t="s">
        <v>87</v>
      </c>
      <c r="O6" t="s">
        <v>87</v>
      </c>
      <c r="P6" t="s">
        <v>108</v>
      </c>
      <c r="Q6">
        <v>4</v>
      </c>
      <c r="R6" t="s">
        <v>86</v>
      </c>
      <c r="S6" t="s">
        <v>86</v>
      </c>
      <c r="T6" t="s">
        <v>102</v>
      </c>
      <c r="U6">
        <v>105</v>
      </c>
      <c r="V6">
        <v>69</v>
      </c>
      <c r="W6">
        <v>81</v>
      </c>
      <c r="X6">
        <v>131</v>
      </c>
      <c r="Y6">
        <v>93</v>
      </c>
      <c r="Z6">
        <v>10487</v>
      </c>
      <c r="AA6">
        <v>17424</v>
      </c>
      <c r="AB6">
        <v>6937</v>
      </c>
      <c r="AC6">
        <v>11328</v>
      </c>
      <c r="AD6">
        <v>36.4</v>
      </c>
      <c r="AE6">
        <v>3742</v>
      </c>
      <c r="AF6">
        <v>34.1</v>
      </c>
      <c r="AG6">
        <v>42</v>
      </c>
      <c r="AH6">
        <v>778</v>
      </c>
      <c r="AI6">
        <v>126.5</v>
      </c>
      <c r="AJ6">
        <v>8.6</v>
      </c>
      <c r="AK6">
        <v>10.1</v>
      </c>
      <c r="AL6">
        <v>151</v>
      </c>
      <c r="AM6">
        <v>47.4</v>
      </c>
      <c r="AN6">
        <v>318</v>
      </c>
      <c r="AO6">
        <v>136</v>
      </c>
      <c r="AP6">
        <v>58</v>
      </c>
      <c r="AQ6">
        <v>10</v>
      </c>
      <c r="AR6">
        <v>144.5</v>
      </c>
      <c r="AS6">
        <v>4.3</v>
      </c>
      <c r="AT6">
        <v>24</v>
      </c>
      <c r="AU6">
        <v>50</v>
      </c>
      <c r="AV6">
        <v>32.6</v>
      </c>
      <c r="AW6">
        <v>2</v>
      </c>
      <c r="AX6">
        <v>4</v>
      </c>
      <c r="AY6">
        <v>4.8</v>
      </c>
      <c r="AZ6">
        <v>14.6</v>
      </c>
      <c r="BA6">
        <v>158</v>
      </c>
      <c r="BB6">
        <v>21</v>
      </c>
      <c r="BC6">
        <v>64</v>
      </c>
      <c r="BD6">
        <v>128</v>
      </c>
      <c r="BE6">
        <v>12.5</v>
      </c>
      <c r="BF6" t="s">
        <v>86</v>
      </c>
      <c r="BG6">
        <v>61</v>
      </c>
      <c r="BH6">
        <v>43</v>
      </c>
      <c r="BI6">
        <v>-9.4</v>
      </c>
      <c r="BJ6" t="s">
        <v>118</v>
      </c>
      <c r="BK6">
        <v>464</v>
      </c>
      <c r="BL6">
        <v>59</v>
      </c>
      <c r="BM6">
        <v>0.7</v>
      </c>
      <c r="BN6" t="s">
        <v>119</v>
      </c>
      <c r="BO6" t="s">
        <v>109</v>
      </c>
      <c r="BP6" t="s">
        <v>93</v>
      </c>
      <c r="BQ6" t="s">
        <v>94</v>
      </c>
      <c r="BR6">
        <v>1015</v>
      </c>
      <c r="BS6">
        <v>28.3</v>
      </c>
      <c r="BT6" t="s">
        <v>110</v>
      </c>
      <c r="BU6" t="s">
        <v>87</v>
      </c>
      <c r="BV6" t="s">
        <v>86</v>
      </c>
      <c r="BW6" t="s">
        <v>86</v>
      </c>
      <c r="BX6" t="s">
        <v>96</v>
      </c>
      <c r="BY6" t="s">
        <v>87</v>
      </c>
      <c r="BZ6" t="s">
        <v>87</v>
      </c>
      <c r="CA6">
        <v>13</v>
      </c>
      <c r="CB6" t="s">
        <v>120</v>
      </c>
      <c r="CC6" t="s">
        <v>87</v>
      </c>
    </row>
    <row r="7" spans="1:81">
      <c r="A7" t="s">
        <v>121</v>
      </c>
      <c r="B7" t="s">
        <v>122</v>
      </c>
      <c r="C7" t="s">
        <v>345</v>
      </c>
      <c r="D7" t="s">
        <v>83</v>
      </c>
      <c r="E7">
        <v>66</v>
      </c>
      <c r="F7" t="s">
        <v>84</v>
      </c>
      <c r="G7">
        <v>111</v>
      </c>
      <c r="H7">
        <v>173</v>
      </c>
      <c r="I7">
        <v>37.1</v>
      </c>
      <c r="J7">
        <v>117.1</v>
      </c>
      <c r="K7" t="s">
        <v>123</v>
      </c>
      <c r="L7" t="s">
        <v>86</v>
      </c>
      <c r="M7" t="s">
        <v>87</v>
      </c>
      <c r="N7" t="s">
        <v>86</v>
      </c>
      <c r="O7" t="s">
        <v>86</v>
      </c>
      <c r="P7" t="s">
        <v>108</v>
      </c>
      <c r="Q7">
        <v>23</v>
      </c>
      <c r="R7" t="s">
        <v>87</v>
      </c>
      <c r="S7" t="s">
        <v>87</v>
      </c>
      <c r="T7" t="s">
        <v>124</v>
      </c>
      <c r="U7">
        <v>163</v>
      </c>
      <c r="V7">
        <v>94</v>
      </c>
      <c r="W7">
        <v>117</v>
      </c>
      <c r="X7">
        <v>76</v>
      </c>
      <c r="Y7">
        <v>90</v>
      </c>
      <c r="Z7">
        <v>1687</v>
      </c>
      <c r="AA7">
        <v>2106</v>
      </c>
      <c r="AB7">
        <v>419</v>
      </c>
      <c r="AC7">
        <v>10073</v>
      </c>
      <c r="AD7">
        <v>19.8</v>
      </c>
      <c r="AE7">
        <v>4033</v>
      </c>
      <c r="AF7">
        <v>70.900000000000006</v>
      </c>
      <c r="AG7">
        <v>62</v>
      </c>
      <c r="AH7">
        <v>817</v>
      </c>
      <c r="AI7">
        <v>34.1</v>
      </c>
      <c r="AJ7">
        <v>5.6</v>
      </c>
      <c r="AK7">
        <v>6.9</v>
      </c>
      <c r="AL7">
        <v>137</v>
      </c>
      <c r="AM7">
        <v>38.799999999999997</v>
      </c>
      <c r="AN7">
        <v>293</v>
      </c>
      <c r="AO7">
        <v>80</v>
      </c>
      <c r="AP7">
        <v>83</v>
      </c>
      <c r="AQ7">
        <v>5.4</v>
      </c>
      <c r="AR7">
        <v>141.1</v>
      </c>
      <c r="AS7">
        <v>4.0999999999999996</v>
      </c>
      <c r="AT7">
        <v>67</v>
      </c>
      <c r="AU7">
        <v>17</v>
      </c>
      <c r="AV7">
        <v>35.9</v>
      </c>
      <c r="AW7">
        <v>1.9</v>
      </c>
      <c r="AX7">
        <v>10</v>
      </c>
      <c r="AY7">
        <v>6.7</v>
      </c>
      <c r="AZ7">
        <v>12</v>
      </c>
      <c r="BA7">
        <v>253</v>
      </c>
      <c r="BB7">
        <v>30</v>
      </c>
      <c r="BC7">
        <v>64</v>
      </c>
      <c r="BD7">
        <v>182</v>
      </c>
      <c r="BE7">
        <v>21.2</v>
      </c>
      <c r="BF7" t="s">
        <v>87</v>
      </c>
      <c r="BG7">
        <v>62</v>
      </c>
      <c r="BH7">
        <v>40.1</v>
      </c>
      <c r="BI7">
        <v>-16.3</v>
      </c>
      <c r="BJ7" t="s">
        <v>125</v>
      </c>
      <c r="BK7">
        <v>692</v>
      </c>
      <c r="BL7">
        <v>25</v>
      </c>
      <c r="BM7">
        <v>1.1599999999999999</v>
      </c>
      <c r="BN7" t="s">
        <v>96</v>
      </c>
      <c r="BO7" t="s">
        <v>109</v>
      </c>
      <c r="BP7" t="s">
        <v>93</v>
      </c>
      <c r="BQ7" t="s">
        <v>103</v>
      </c>
      <c r="BR7">
        <v>1104</v>
      </c>
      <c r="BS7">
        <v>32.6</v>
      </c>
      <c r="BT7" t="s">
        <v>110</v>
      </c>
      <c r="BU7" t="s">
        <v>86</v>
      </c>
      <c r="BV7" t="s">
        <v>86</v>
      </c>
      <c r="BW7" t="s">
        <v>86</v>
      </c>
      <c r="BX7" t="s">
        <v>96</v>
      </c>
      <c r="BY7" t="s">
        <v>86</v>
      </c>
      <c r="BZ7" t="s">
        <v>86</v>
      </c>
      <c r="CA7">
        <v>7</v>
      </c>
      <c r="CB7" t="s">
        <v>97</v>
      </c>
      <c r="CC7" t="s">
        <v>86</v>
      </c>
    </row>
    <row r="8" spans="1:81">
      <c r="A8" t="s">
        <v>126</v>
      </c>
      <c r="B8" t="s">
        <v>127</v>
      </c>
      <c r="C8" t="s">
        <v>345</v>
      </c>
      <c r="D8" t="s">
        <v>83</v>
      </c>
      <c r="E8">
        <v>42</v>
      </c>
      <c r="F8" t="s">
        <v>128</v>
      </c>
      <c r="G8">
        <v>85.1</v>
      </c>
      <c r="H8">
        <v>174</v>
      </c>
      <c r="I8">
        <v>28.1</v>
      </c>
      <c r="J8">
        <v>89.1</v>
      </c>
      <c r="K8" t="s">
        <v>114</v>
      </c>
      <c r="L8" t="s">
        <v>86</v>
      </c>
      <c r="M8" t="s">
        <v>87</v>
      </c>
      <c r="N8" t="s">
        <v>87</v>
      </c>
      <c r="O8" t="s">
        <v>87</v>
      </c>
      <c r="P8" t="s">
        <v>129</v>
      </c>
      <c r="Q8">
        <v>11</v>
      </c>
      <c r="R8" t="s">
        <v>87</v>
      </c>
      <c r="S8" t="s">
        <v>86</v>
      </c>
      <c r="T8" t="s">
        <v>124</v>
      </c>
      <c r="U8">
        <v>212</v>
      </c>
      <c r="V8">
        <v>68</v>
      </c>
      <c r="W8">
        <v>116</v>
      </c>
      <c r="X8">
        <v>116</v>
      </c>
      <c r="Y8">
        <v>97</v>
      </c>
      <c r="Z8">
        <v>658</v>
      </c>
      <c r="AA8">
        <v>834</v>
      </c>
      <c r="AB8">
        <v>176</v>
      </c>
      <c r="AC8">
        <v>11465</v>
      </c>
      <c r="AD8">
        <v>28</v>
      </c>
      <c r="AE8">
        <v>2142</v>
      </c>
      <c r="AF8">
        <v>29.1</v>
      </c>
      <c r="AG8">
        <v>41</v>
      </c>
      <c r="AH8">
        <v>804</v>
      </c>
      <c r="AI8">
        <v>56.6</v>
      </c>
      <c r="AJ8">
        <v>7.5</v>
      </c>
      <c r="AK8">
        <v>13.2</v>
      </c>
      <c r="AL8">
        <v>161</v>
      </c>
      <c r="AM8">
        <v>49.2</v>
      </c>
      <c r="AN8">
        <v>254</v>
      </c>
      <c r="AO8">
        <v>62</v>
      </c>
      <c r="AP8">
        <v>108</v>
      </c>
      <c r="AQ8">
        <v>9.3000000000000007</v>
      </c>
      <c r="AR8">
        <v>137.30000000000001</v>
      </c>
      <c r="AS8">
        <v>4.0999999999999996</v>
      </c>
      <c r="AT8">
        <v>52</v>
      </c>
      <c r="AU8">
        <v>44</v>
      </c>
      <c r="AV8">
        <v>35.9</v>
      </c>
      <c r="AW8">
        <v>1.2</v>
      </c>
      <c r="AX8">
        <v>12.7</v>
      </c>
      <c r="AY8">
        <v>8.1</v>
      </c>
      <c r="AZ8">
        <v>15.3</v>
      </c>
      <c r="BA8">
        <v>216</v>
      </c>
      <c r="BB8">
        <v>31</v>
      </c>
      <c r="BC8">
        <v>63</v>
      </c>
      <c r="BD8">
        <v>147</v>
      </c>
      <c r="BE8">
        <v>16.399999999999999</v>
      </c>
      <c r="BF8" t="s">
        <v>86</v>
      </c>
      <c r="BG8">
        <v>39</v>
      </c>
      <c r="BH8">
        <v>33.5</v>
      </c>
      <c r="BI8">
        <v>-9.6999999999999993</v>
      </c>
      <c r="BJ8" t="s">
        <v>115</v>
      </c>
      <c r="BK8">
        <v>316</v>
      </c>
      <c r="BL8">
        <v>48</v>
      </c>
      <c r="BM8">
        <v>0.92</v>
      </c>
      <c r="BN8" t="s">
        <v>96</v>
      </c>
      <c r="BO8" t="s">
        <v>92</v>
      </c>
      <c r="BP8" t="s">
        <v>130</v>
      </c>
      <c r="BQ8" t="s">
        <v>94</v>
      </c>
      <c r="BR8">
        <v>1103</v>
      </c>
      <c r="BS8">
        <v>26.9</v>
      </c>
      <c r="BT8" t="s">
        <v>131</v>
      </c>
      <c r="BU8" t="s">
        <v>86</v>
      </c>
      <c r="BV8" t="s">
        <v>86</v>
      </c>
      <c r="BW8" t="s">
        <v>86</v>
      </c>
      <c r="BX8" t="s">
        <v>96</v>
      </c>
      <c r="BY8" t="s">
        <v>86</v>
      </c>
      <c r="BZ8" t="s">
        <v>86</v>
      </c>
      <c r="CA8">
        <v>5</v>
      </c>
      <c r="CB8" t="s">
        <v>97</v>
      </c>
      <c r="CC8" t="s">
        <v>86</v>
      </c>
    </row>
    <row r="9" spans="1:81">
      <c r="A9" t="s">
        <v>132</v>
      </c>
      <c r="B9" t="s">
        <v>133</v>
      </c>
      <c r="C9" t="s">
        <v>345</v>
      </c>
      <c r="D9" t="s">
        <v>83</v>
      </c>
      <c r="E9">
        <v>32</v>
      </c>
      <c r="F9" t="s">
        <v>84</v>
      </c>
      <c r="G9">
        <v>136.6</v>
      </c>
      <c r="H9">
        <v>183</v>
      </c>
      <c r="I9">
        <v>40.799999999999997</v>
      </c>
      <c r="J9">
        <v>118.8</v>
      </c>
      <c r="K9" t="s">
        <v>85</v>
      </c>
      <c r="L9" t="s">
        <v>87</v>
      </c>
      <c r="M9" t="s">
        <v>87</v>
      </c>
      <c r="N9" t="s">
        <v>86</v>
      </c>
      <c r="O9" t="s">
        <v>87</v>
      </c>
      <c r="P9" t="s">
        <v>134</v>
      </c>
      <c r="Q9">
        <v>0</v>
      </c>
      <c r="R9" t="s">
        <v>86</v>
      </c>
      <c r="S9" t="s">
        <v>86</v>
      </c>
      <c r="T9" t="s">
        <v>102</v>
      </c>
      <c r="U9">
        <v>133</v>
      </c>
      <c r="V9">
        <v>72</v>
      </c>
      <c r="W9">
        <v>92.3</v>
      </c>
      <c r="X9">
        <v>97</v>
      </c>
      <c r="Y9">
        <v>98</v>
      </c>
      <c r="Z9">
        <v>1085</v>
      </c>
      <c r="AA9">
        <v>1090</v>
      </c>
      <c r="AB9">
        <v>5</v>
      </c>
      <c r="AC9">
        <v>20681</v>
      </c>
      <c r="AD9">
        <v>25.4</v>
      </c>
      <c r="AE9">
        <v>12122</v>
      </c>
      <c r="AF9">
        <v>33.700000000000003</v>
      </c>
      <c r="AG9">
        <v>53</v>
      </c>
      <c r="AH9">
        <v>1078</v>
      </c>
      <c r="AI9">
        <v>13.5</v>
      </c>
      <c r="AJ9">
        <v>5.3</v>
      </c>
      <c r="AK9">
        <v>6.2</v>
      </c>
      <c r="AL9">
        <v>128</v>
      </c>
      <c r="AM9">
        <v>36</v>
      </c>
      <c r="AN9">
        <v>265</v>
      </c>
      <c r="AO9">
        <v>136</v>
      </c>
      <c r="AP9">
        <v>79</v>
      </c>
      <c r="AQ9">
        <v>5.5</v>
      </c>
      <c r="AR9">
        <v>143.1</v>
      </c>
      <c r="AS9">
        <v>4.0999999999999996</v>
      </c>
      <c r="AT9">
        <v>95</v>
      </c>
      <c r="AU9">
        <v>97</v>
      </c>
      <c r="AV9">
        <v>42.1</v>
      </c>
      <c r="AW9">
        <v>1.9</v>
      </c>
      <c r="AX9">
        <v>15.2</v>
      </c>
      <c r="AY9">
        <v>4.0999999999999996</v>
      </c>
      <c r="AZ9">
        <v>15.7</v>
      </c>
      <c r="BA9">
        <v>224</v>
      </c>
      <c r="BB9">
        <v>34</v>
      </c>
      <c r="BC9">
        <v>57</v>
      </c>
      <c r="BD9">
        <v>164</v>
      </c>
      <c r="BE9">
        <v>19.600000000000001</v>
      </c>
      <c r="BF9" t="s">
        <v>86</v>
      </c>
      <c r="BG9">
        <v>40</v>
      </c>
      <c r="BH9">
        <v>68.5</v>
      </c>
      <c r="BI9">
        <v>-13.6</v>
      </c>
      <c r="BJ9" t="s">
        <v>115</v>
      </c>
      <c r="BK9">
        <v>57</v>
      </c>
      <c r="BL9">
        <v>63</v>
      </c>
      <c r="BM9">
        <v>1</v>
      </c>
      <c r="BN9" t="s">
        <v>135</v>
      </c>
      <c r="BO9" t="s">
        <v>109</v>
      </c>
      <c r="BP9" t="s">
        <v>93</v>
      </c>
      <c r="BQ9" t="s">
        <v>103</v>
      </c>
      <c r="BR9">
        <v>1149</v>
      </c>
      <c r="BS9">
        <v>36.6</v>
      </c>
      <c r="BT9" t="s">
        <v>95</v>
      </c>
      <c r="BU9" t="s">
        <v>87</v>
      </c>
      <c r="BV9" t="s">
        <v>86</v>
      </c>
      <c r="BW9" t="s">
        <v>87</v>
      </c>
      <c r="BX9" t="s">
        <v>96</v>
      </c>
      <c r="BY9" t="s">
        <v>87</v>
      </c>
      <c r="BZ9" t="s">
        <v>86</v>
      </c>
      <c r="CA9">
        <v>12</v>
      </c>
      <c r="CB9" t="s">
        <v>104</v>
      </c>
      <c r="CC9" t="s">
        <v>87</v>
      </c>
    </row>
    <row r="10" spans="1:81">
      <c r="A10" t="s">
        <v>136</v>
      </c>
      <c r="B10" t="s">
        <v>137</v>
      </c>
      <c r="C10" t="s">
        <v>345</v>
      </c>
      <c r="D10" t="s">
        <v>83</v>
      </c>
      <c r="E10">
        <v>48</v>
      </c>
      <c r="F10" t="s">
        <v>128</v>
      </c>
      <c r="G10">
        <v>84</v>
      </c>
      <c r="H10">
        <v>162</v>
      </c>
      <c r="I10">
        <v>32</v>
      </c>
      <c r="J10">
        <v>99.2</v>
      </c>
      <c r="K10" t="s">
        <v>100</v>
      </c>
      <c r="L10" t="s">
        <v>86</v>
      </c>
      <c r="M10" t="s">
        <v>87</v>
      </c>
      <c r="N10" t="s">
        <v>86</v>
      </c>
      <c r="O10" t="s">
        <v>86</v>
      </c>
      <c r="P10" t="s">
        <v>101</v>
      </c>
      <c r="Q10">
        <v>10</v>
      </c>
      <c r="R10" t="s">
        <v>86</v>
      </c>
      <c r="S10" t="s">
        <v>87</v>
      </c>
      <c r="T10" t="s">
        <v>102</v>
      </c>
      <c r="U10">
        <v>115</v>
      </c>
      <c r="V10">
        <v>97</v>
      </c>
      <c r="W10">
        <v>103</v>
      </c>
      <c r="X10">
        <v>140</v>
      </c>
      <c r="Y10">
        <v>94</v>
      </c>
      <c r="Z10">
        <v>1369</v>
      </c>
      <c r="AA10">
        <v>2443</v>
      </c>
      <c r="AB10">
        <v>1074</v>
      </c>
      <c r="AC10">
        <v>8843</v>
      </c>
      <c r="AD10">
        <v>10.9</v>
      </c>
      <c r="AE10">
        <v>2951</v>
      </c>
      <c r="AF10">
        <v>28.3</v>
      </c>
      <c r="AG10">
        <v>62</v>
      </c>
      <c r="AH10">
        <v>580</v>
      </c>
      <c r="AI10">
        <v>44.6</v>
      </c>
      <c r="AJ10">
        <v>6.1</v>
      </c>
      <c r="AK10">
        <v>6.2</v>
      </c>
      <c r="AL10">
        <v>156</v>
      </c>
      <c r="AM10">
        <v>53</v>
      </c>
      <c r="AN10">
        <v>170</v>
      </c>
      <c r="AO10">
        <v>62</v>
      </c>
      <c r="AP10">
        <v>104</v>
      </c>
      <c r="AQ10">
        <v>7.5</v>
      </c>
      <c r="AR10">
        <v>135.69999999999999</v>
      </c>
      <c r="AS10">
        <v>4.0999999999999996</v>
      </c>
      <c r="AT10">
        <v>58</v>
      </c>
      <c r="AU10">
        <v>61</v>
      </c>
      <c r="AV10">
        <v>37.9</v>
      </c>
      <c r="AW10">
        <v>1.4</v>
      </c>
      <c r="AX10">
        <v>9.1</v>
      </c>
      <c r="AY10">
        <v>4.3</v>
      </c>
      <c r="AZ10">
        <v>14.9</v>
      </c>
      <c r="BA10">
        <v>315</v>
      </c>
      <c r="BB10">
        <v>36</v>
      </c>
      <c r="BC10">
        <v>67</v>
      </c>
      <c r="BD10">
        <v>148</v>
      </c>
      <c r="BE10">
        <v>8.3000000000000007</v>
      </c>
      <c r="BF10" t="s">
        <v>86</v>
      </c>
      <c r="BG10">
        <v>48</v>
      </c>
      <c r="BH10">
        <v>53.5</v>
      </c>
      <c r="BI10">
        <v>-13.6</v>
      </c>
      <c r="BJ10" t="s">
        <v>90</v>
      </c>
      <c r="BK10">
        <v>158</v>
      </c>
      <c r="BL10">
        <v>10</v>
      </c>
      <c r="BM10">
        <v>0.95</v>
      </c>
      <c r="BN10" t="s">
        <v>96</v>
      </c>
      <c r="BO10" t="s">
        <v>92</v>
      </c>
      <c r="BP10" t="s">
        <v>93</v>
      </c>
      <c r="BQ10" t="s">
        <v>103</v>
      </c>
      <c r="BR10">
        <v>1001</v>
      </c>
      <c r="BS10">
        <v>28.7</v>
      </c>
      <c r="BT10" t="s">
        <v>131</v>
      </c>
      <c r="BU10" t="s">
        <v>86</v>
      </c>
      <c r="BV10" t="s">
        <v>86</v>
      </c>
      <c r="BW10" t="s">
        <v>86</v>
      </c>
      <c r="BX10" t="s">
        <v>96</v>
      </c>
      <c r="BY10" t="s">
        <v>86</v>
      </c>
      <c r="BZ10" t="s">
        <v>86</v>
      </c>
      <c r="CA10">
        <v>11</v>
      </c>
      <c r="CB10" t="s">
        <v>97</v>
      </c>
      <c r="CC10" t="s">
        <v>86</v>
      </c>
    </row>
    <row r="11" spans="1:81">
      <c r="A11" t="s">
        <v>138</v>
      </c>
      <c r="B11" t="s">
        <v>139</v>
      </c>
      <c r="C11" t="s">
        <v>345</v>
      </c>
      <c r="D11" t="s">
        <v>83</v>
      </c>
      <c r="E11">
        <v>35</v>
      </c>
      <c r="F11" t="s">
        <v>113</v>
      </c>
      <c r="G11">
        <v>71.400000000000006</v>
      </c>
      <c r="H11">
        <v>166</v>
      </c>
      <c r="I11">
        <v>25.9</v>
      </c>
      <c r="J11">
        <v>94.1</v>
      </c>
      <c r="K11" t="s">
        <v>114</v>
      </c>
      <c r="L11" t="s">
        <v>87</v>
      </c>
      <c r="M11" t="s">
        <v>87</v>
      </c>
      <c r="N11" t="s">
        <v>86</v>
      </c>
      <c r="O11" t="s">
        <v>86</v>
      </c>
      <c r="P11" t="s">
        <v>140</v>
      </c>
      <c r="Q11">
        <v>13</v>
      </c>
      <c r="R11" t="s">
        <v>87</v>
      </c>
      <c r="S11" t="s">
        <v>87</v>
      </c>
      <c r="T11" t="s">
        <v>102</v>
      </c>
      <c r="U11">
        <v>116</v>
      </c>
      <c r="V11">
        <v>84</v>
      </c>
      <c r="W11">
        <v>94.7</v>
      </c>
      <c r="X11">
        <v>136</v>
      </c>
      <c r="Y11">
        <v>91</v>
      </c>
      <c r="Z11">
        <v>3333</v>
      </c>
      <c r="AA11">
        <v>5206</v>
      </c>
      <c r="AB11">
        <v>1873</v>
      </c>
      <c r="AC11">
        <v>44840</v>
      </c>
      <c r="AD11">
        <v>35.299999999999997</v>
      </c>
      <c r="AE11">
        <v>1580</v>
      </c>
      <c r="AF11">
        <v>73.5</v>
      </c>
      <c r="AG11">
        <v>62</v>
      </c>
      <c r="AH11">
        <v>1445</v>
      </c>
      <c r="AI11">
        <v>138.80000000000001</v>
      </c>
      <c r="AJ11">
        <v>5.3</v>
      </c>
      <c r="AK11">
        <v>7</v>
      </c>
      <c r="AL11">
        <v>101</v>
      </c>
      <c r="AM11">
        <v>34</v>
      </c>
      <c r="AN11">
        <v>165</v>
      </c>
      <c r="AO11">
        <v>98</v>
      </c>
      <c r="AP11">
        <v>102</v>
      </c>
      <c r="AQ11">
        <v>6</v>
      </c>
      <c r="AR11">
        <v>131.5</v>
      </c>
      <c r="AS11">
        <v>5.0999999999999996</v>
      </c>
      <c r="AT11">
        <v>14</v>
      </c>
      <c r="AU11">
        <v>70</v>
      </c>
      <c r="AV11">
        <v>40</v>
      </c>
      <c r="AW11">
        <v>2.9</v>
      </c>
      <c r="AX11">
        <v>11.9</v>
      </c>
      <c r="AY11">
        <v>7.2</v>
      </c>
      <c r="AZ11">
        <v>12.8</v>
      </c>
      <c r="BA11">
        <v>321</v>
      </c>
      <c r="BB11">
        <v>32</v>
      </c>
      <c r="BC11">
        <v>48</v>
      </c>
      <c r="BD11">
        <v>116</v>
      </c>
      <c r="BE11">
        <v>11</v>
      </c>
      <c r="BF11" t="s">
        <v>86</v>
      </c>
      <c r="BG11">
        <v>27</v>
      </c>
      <c r="BH11">
        <v>49.3</v>
      </c>
      <c r="BI11">
        <v>-8.6</v>
      </c>
      <c r="BJ11" t="s">
        <v>125</v>
      </c>
      <c r="BK11">
        <v>18</v>
      </c>
      <c r="BL11">
        <v>19</v>
      </c>
      <c r="BM11">
        <v>0.95</v>
      </c>
      <c r="BN11" t="s">
        <v>91</v>
      </c>
      <c r="BO11" t="s">
        <v>92</v>
      </c>
      <c r="BP11" t="s">
        <v>93</v>
      </c>
      <c r="BQ11" t="s">
        <v>94</v>
      </c>
      <c r="BR11">
        <v>1094</v>
      </c>
      <c r="BS11">
        <v>41.6</v>
      </c>
      <c r="BT11" t="s">
        <v>110</v>
      </c>
      <c r="BU11" t="s">
        <v>87</v>
      </c>
      <c r="BV11" t="s">
        <v>87</v>
      </c>
      <c r="BW11" t="s">
        <v>86</v>
      </c>
      <c r="BX11" t="s">
        <v>96</v>
      </c>
      <c r="BY11" t="s">
        <v>86</v>
      </c>
      <c r="BZ11" t="s">
        <v>86</v>
      </c>
      <c r="CA11">
        <v>13</v>
      </c>
      <c r="CB11" t="s">
        <v>120</v>
      </c>
      <c r="CC11" t="s">
        <v>87</v>
      </c>
    </row>
    <row r="12" spans="1:81">
      <c r="A12" t="s">
        <v>141</v>
      </c>
      <c r="B12" t="s">
        <v>142</v>
      </c>
      <c r="C12" t="s">
        <v>345</v>
      </c>
      <c r="D12" t="s">
        <v>83</v>
      </c>
      <c r="E12">
        <v>40</v>
      </c>
      <c r="F12" t="s">
        <v>84</v>
      </c>
      <c r="G12">
        <v>84.2</v>
      </c>
      <c r="H12">
        <v>180</v>
      </c>
      <c r="I12">
        <v>26</v>
      </c>
      <c r="J12">
        <v>93.1</v>
      </c>
      <c r="K12" t="s">
        <v>114</v>
      </c>
      <c r="L12" t="s">
        <v>86</v>
      </c>
      <c r="M12" t="s">
        <v>86</v>
      </c>
      <c r="N12" t="s">
        <v>87</v>
      </c>
      <c r="O12" t="s">
        <v>87</v>
      </c>
      <c r="P12" t="s">
        <v>134</v>
      </c>
      <c r="Q12">
        <v>0</v>
      </c>
      <c r="R12" t="s">
        <v>86</v>
      </c>
      <c r="S12" t="s">
        <v>87</v>
      </c>
      <c r="T12" t="s">
        <v>102</v>
      </c>
      <c r="U12">
        <v>103</v>
      </c>
      <c r="V12">
        <v>96</v>
      </c>
      <c r="W12">
        <v>98.3</v>
      </c>
      <c r="X12">
        <v>133</v>
      </c>
      <c r="Y12">
        <v>97</v>
      </c>
      <c r="Z12">
        <v>432</v>
      </c>
      <c r="AA12">
        <v>759</v>
      </c>
      <c r="AB12">
        <v>327</v>
      </c>
      <c r="AC12">
        <v>8785</v>
      </c>
      <c r="AD12">
        <v>29.9</v>
      </c>
      <c r="AE12">
        <v>4792</v>
      </c>
      <c r="AF12">
        <v>6.2</v>
      </c>
      <c r="AG12">
        <v>63</v>
      </c>
      <c r="AH12">
        <v>269</v>
      </c>
      <c r="AI12">
        <v>28</v>
      </c>
      <c r="AJ12">
        <v>8.9</v>
      </c>
      <c r="AK12">
        <v>8.8000000000000007</v>
      </c>
      <c r="AL12">
        <v>152</v>
      </c>
      <c r="AM12">
        <v>39.5</v>
      </c>
      <c r="AN12">
        <v>219</v>
      </c>
      <c r="AO12">
        <v>67</v>
      </c>
      <c r="AP12">
        <v>119</v>
      </c>
      <c r="AQ12">
        <v>3.4</v>
      </c>
      <c r="AR12">
        <v>139.1</v>
      </c>
      <c r="AS12">
        <v>4.5999999999999996</v>
      </c>
      <c r="AT12">
        <v>85</v>
      </c>
      <c r="AU12">
        <v>42</v>
      </c>
      <c r="AV12">
        <v>38.9</v>
      </c>
      <c r="AW12">
        <v>2.1</v>
      </c>
      <c r="AX12">
        <v>4</v>
      </c>
      <c r="AY12">
        <v>3.8</v>
      </c>
      <c r="AZ12">
        <v>11.6</v>
      </c>
      <c r="BA12">
        <v>377</v>
      </c>
      <c r="BB12">
        <v>39</v>
      </c>
      <c r="BC12">
        <v>63</v>
      </c>
      <c r="BD12">
        <v>165</v>
      </c>
      <c r="BE12">
        <v>18.899999999999999</v>
      </c>
      <c r="BF12" t="s">
        <v>87</v>
      </c>
      <c r="BG12">
        <v>58</v>
      </c>
      <c r="BH12">
        <v>34.200000000000003</v>
      </c>
      <c r="BI12">
        <v>-13.2</v>
      </c>
      <c r="BJ12" t="s">
        <v>90</v>
      </c>
      <c r="BK12">
        <v>457</v>
      </c>
      <c r="BL12">
        <v>21</v>
      </c>
      <c r="BM12">
        <v>0.92</v>
      </c>
      <c r="BN12" t="s">
        <v>96</v>
      </c>
      <c r="BO12" t="s">
        <v>92</v>
      </c>
      <c r="BP12" t="s">
        <v>93</v>
      </c>
      <c r="BQ12" t="s">
        <v>94</v>
      </c>
      <c r="BR12">
        <v>1084</v>
      </c>
      <c r="BS12">
        <v>33</v>
      </c>
      <c r="BT12" t="s">
        <v>143</v>
      </c>
      <c r="BU12" t="s">
        <v>86</v>
      </c>
      <c r="BV12" t="s">
        <v>86</v>
      </c>
      <c r="BW12" t="s">
        <v>86</v>
      </c>
      <c r="BX12" t="s">
        <v>96</v>
      </c>
      <c r="BY12" t="s">
        <v>86</v>
      </c>
      <c r="BZ12" t="s">
        <v>86</v>
      </c>
      <c r="CA12">
        <v>11</v>
      </c>
      <c r="CB12" t="s">
        <v>97</v>
      </c>
      <c r="CC12" t="s">
        <v>86</v>
      </c>
    </row>
    <row r="13" spans="1:81">
      <c r="A13" t="s">
        <v>144</v>
      </c>
      <c r="B13" t="s">
        <v>145</v>
      </c>
      <c r="C13" t="s">
        <v>345</v>
      </c>
      <c r="D13" t="s">
        <v>83</v>
      </c>
      <c r="E13">
        <v>60</v>
      </c>
      <c r="F13" t="s">
        <v>113</v>
      </c>
      <c r="G13">
        <v>76.900000000000006</v>
      </c>
      <c r="H13">
        <v>164</v>
      </c>
      <c r="I13">
        <v>28.6</v>
      </c>
      <c r="J13">
        <v>89.6</v>
      </c>
      <c r="K13" t="s">
        <v>114</v>
      </c>
      <c r="L13" t="s">
        <v>86</v>
      </c>
      <c r="M13" t="s">
        <v>87</v>
      </c>
      <c r="N13" t="s">
        <v>86</v>
      </c>
      <c r="O13" t="s">
        <v>86</v>
      </c>
      <c r="P13" t="s">
        <v>134</v>
      </c>
      <c r="Q13">
        <v>0</v>
      </c>
      <c r="R13" t="s">
        <v>86</v>
      </c>
      <c r="S13" t="s">
        <v>86</v>
      </c>
      <c r="T13" t="s">
        <v>102</v>
      </c>
      <c r="U13">
        <v>136</v>
      </c>
      <c r="V13">
        <v>93</v>
      </c>
      <c r="W13">
        <v>107.3</v>
      </c>
      <c r="X13">
        <v>146</v>
      </c>
      <c r="Y13">
        <v>92</v>
      </c>
      <c r="Z13">
        <v>1601</v>
      </c>
      <c r="AA13">
        <v>1476</v>
      </c>
      <c r="AB13">
        <v>-125</v>
      </c>
      <c r="AC13">
        <v>31891</v>
      </c>
      <c r="AD13">
        <v>18.2</v>
      </c>
      <c r="AE13">
        <v>1003</v>
      </c>
      <c r="AF13">
        <v>14.6</v>
      </c>
      <c r="AG13">
        <v>34</v>
      </c>
      <c r="AH13">
        <v>287</v>
      </c>
      <c r="AI13">
        <v>23.5</v>
      </c>
      <c r="AJ13">
        <v>6.1</v>
      </c>
      <c r="AK13">
        <v>5.4</v>
      </c>
      <c r="AL13">
        <v>125</v>
      </c>
      <c r="AM13">
        <v>44.2</v>
      </c>
      <c r="AN13">
        <v>198</v>
      </c>
      <c r="AO13">
        <v>62</v>
      </c>
      <c r="AP13">
        <v>93</v>
      </c>
      <c r="AQ13">
        <v>10.9</v>
      </c>
      <c r="AR13">
        <v>135.9</v>
      </c>
      <c r="AS13">
        <v>4.3</v>
      </c>
      <c r="AT13">
        <v>72</v>
      </c>
      <c r="AU13">
        <v>15</v>
      </c>
      <c r="AV13">
        <v>35.4</v>
      </c>
      <c r="AW13">
        <v>1.3</v>
      </c>
      <c r="AX13">
        <v>4.7</v>
      </c>
      <c r="AY13">
        <v>2.8</v>
      </c>
      <c r="AZ13">
        <v>15.1</v>
      </c>
      <c r="BA13">
        <v>379</v>
      </c>
      <c r="BB13">
        <v>32</v>
      </c>
      <c r="BC13">
        <v>68</v>
      </c>
      <c r="BD13">
        <v>122</v>
      </c>
      <c r="BE13">
        <v>12.1</v>
      </c>
      <c r="BF13" t="s">
        <v>86</v>
      </c>
      <c r="BG13">
        <v>43</v>
      </c>
      <c r="BH13">
        <v>43.6</v>
      </c>
      <c r="BI13">
        <v>-14.4</v>
      </c>
      <c r="BJ13" t="s">
        <v>115</v>
      </c>
      <c r="BK13">
        <v>823</v>
      </c>
      <c r="BL13">
        <v>23</v>
      </c>
      <c r="BM13">
        <v>0.87</v>
      </c>
      <c r="BN13" t="s">
        <v>91</v>
      </c>
      <c r="BO13" t="s">
        <v>92</v>
      </c>
      <c r="BP13" t="s">
        <v>93</v>
      </c>
      <c r="BQ13" t="s">
        <v>94</v>
      </c>
      <c r="BR13">
        <v>1132</v>
      </c>
      <c r="BS13">
        <v>27.9</v>
      </c>
      <c r="BT13" t="s">
        <v>146</v>
      </c>
      <c r="BU13" t="s">
        <v>87</v>
      </c>
      <c r="BV13" t="s">
        <v>86</v>
      </c>
      <c r="BW13" t="s">
        <v>86</v>
      </c>
      <c r="BX13" t="s">
        <v>96</v>
      </c>
      <c r="BY13" t="s">
        <v>86</v>
      </c>
      <c r="BZ13" t="s">
        <v>86</v>
      </c>
      <c r="CA13">
        <v>19</v>
      </c>
      <c r="CB13" t="s">
        <v>97</v>
      </c>
      <c r="CC13" t="s">
        <v>87</v>
      </c>
    </row>
    <row r="14" spans="1:81">
      <c r="A14" t="s">
        <v>147</v>
      </c>
      <c r="B14" t="s">
        <v>148</v>
      </c>
      <c r="C14" t="s">
        <v>345</v>
      </c>
      <c r="D14" t="s">
        <v>83</v>
      </c>
      <c r="E14">
        <v>50</v>
      </c>
      <c r="F14" t="s">
        <v>84</v>
      </c>
      <c r="G14">
        <v>77.099999999999994</v>
      </c>
      <c r="H14">
        <v>163</v>
      </c>
      <c r="I14">
        <v>29</v>
      </c>
      <c r="J14">
        <v>92</v>
      </c>
      <c r="K14" t="s">
        <v>114</v>
      </c>
      <c r="L14" t="s">
        <v>87</v>
      </c>
      <c r="M14" t="s">
        <v>87</v>
      </c>
      <c r="N14" t="s">
        <v>86</v>
      </c>
      <c r="O14" t="s">
        <v>87</v>
      </c>
      <c r="P14" t="s">
        <v>108</v>
      </c>
      <c r="Q14">
        <v>12</v>
      </c>
      <c r="R14" t="s">
        <v>86</v>
      </c>
      <c r="S14" t="s">
        <v>87</v>
      </c>
      <c r="T14" t="s">
        <v>89</v>
      </c>
      <c r="U14">
        <v>74</v>
      </c>
      <c r="V14">
        <v>83</v>
      </c>
      <c r="W14">
        <v>80</v>
      </c>
      <c r="X14">
        <v>150</v>
      </c>
      <c r="Y14">
        <v>96</v>
      </c>
      <c r="Z14">
        <v>3206</v>
      </c>
      <c r="AA14">
        <v>5505</v>
      </c>
      <c r="AB14">
        <v>2299</v>
      </c>
      <c r="AC14">
        <v>3825</v>
      </c>
      <c r="AD14">
        <v>18.399999999999999</v>
      </c>
      <c r="AE14">
        <v>2460</v>
      </c>
      <c r="AF14">
        <v>85.3</v>
      </c>
      <c r="AG14">
        <v>51</v>
      </c>
      <c r="AH14">
        <v>1413</v>
      </c>
      <c r="AI14">
        <v>39.1</v>
      </c>
      <c r="AJ14">
        <v>5.8</v>
      </c>
      <c r="AK14">
        <v>5.9</v>
      </c>
      <c r="AL14">
        <v>214</v>
      </c>
      <c r="AM14">
        <v>44.5</v>
      </c>
      <c r="AN14">
        <v>313</v>
      </c>
      <c r="AO14">
        <v>125</v>
      </c>
      <c r="AP14">
        <v>71</v>
      </c>
      <c r="AQ14">
        <v>7.5</v>
      </c>
      <c r="AR14">
        <v>139.19999999999999</v>
      </c>
      <c r="AS14">
        <v>4.5</v>
      </c>
      <c r="AT14">
        <v>77</v>
      </c>
      <c r="AU14">
        <v>77</v>
      </c>
      <c r="AV14">
        <v>33.799999999999997</v>
      </c>
      <c r="AW14">
        <v>2.6</v>
      </c>
      <c r="AX14">
        <v>4.8</v>
      </c>
      <c r="AY14">
        <v>6.5</v>
      </c>
      <c r="AZ14">
        <v>15.5</v>
      </c>
      <c r="BA14">
        <v>277</v>
      </c>
      <c r="BB14">
        <v>17</v>
      </c>
      <c r="BC14">
        <v>62</v>
      </c>
      <c r="BD14">
        <v>156</v>
      </c>
      <c r="BE14">
        <v>24.5</v>
      </c>
      <c r="BF14" t="s">
        <v>86</v>
      </c>
      <c r="BG14">
        <v>59</v>
      </c>
      <c r="BH14">
        <v>36.1</v>
      </c>
      <c r="BI14">
        <v>-7.9</v>
      </c>
      <c r="BJ14" t="s">
        <v>90</v>
      </c>
      <c r="BK14">
        <v>130</v>
      </c>
      <c r="BL14">
        <v>36</v>
      </c>
      <c r="BM14">
        <v>1.02</v>
      </c>
      <c r="BN14" t="s">
        <v>96</v>
      </c>
      <c r="BO14" t="s">
        <v>92</v>
      </c>
      <c r="BP14" t="s">
        <v>130</v>
      </c>
      <c r="BQ14" t="s">
        <v>94</v>
      </c>
      <c r="BR14">
        <v>1137</v>
      </c>
      <c r="BS14">
        <v>29.7</v>
      </c>
      <c r="BT14" t="s">
        <v>110</v>
      </c>
      <c r="BU14" t="s">
        <v>87</v>
      </c>
      <c r="BV14" t="s">
        <v>86</v>
      </c>
      <c r="BW14" t="s">
        <v>86</v>
      </c>
      <c r="BX14" t="s">
        <v>96</v>
      </c>
      <c r="BY14" t="s">
        <v>86</v>
      </c>
      <c r="BZ14" t="s">
        <v>86</v>
      </c>
      <c r="CA14">
        <v>16</v>
      </c>
      <c r="CB14" t="s">
        <v>97</v>
      </c>
      <c r="CC14" t="s">
        <v>87</v>
      </c>
    </row>
    <row r="15" spans="1:81">
      <c r="A15" t="s">
        <v>149</v>
      </c>
      <c r="B15" t="s">
        <v>150</v>
      </c>
      <c r="C15" t="s">
        <v>345</v>
      </c>
      <c r="D15" t="s">
        <v>83</v>
      </c>
      <c r="E15">
        <v>60</v>
      </c>
      <c r="F15" t="s">
        <v>113</v>
      </c>
      <c r="G15">
        <v>88.8</v>
      </c>
      <c r="H15">
        <v>169</v>
      </c>
      <c r="I15">
        <v>31.1</v>
      </c>
      <c r="J15">
        <v>97.5</v>
      </c>
      <c r="K15" t="s">
        <v>100</v>
      </c>
      <c r="L15" t="s">
        <v>86</v>
      </c>
      <c r="M15" t="s">
        <v>87</v>
      </c>
      <c r="N15" t="s">
        <v>86</v>
      </c>
      <c r="O15" t="s">
        <v>86</v>
      </c>
      <c r="P15" t="s">
        <v>129</v>
      </c>
      <c r="Q15">
        <v>9</v>
      </c>
      <c r="R15" t="s">
        <v>87</v>
      </c>
      <c r="S15" t="s">
        <v>86</v>
      </c>
      <c r="T15" t="s">
        <v>89</v>
      </c>
      <c r="U15">
        <v>115</v>
      </c>
      <c r="V15">
        <v>90</v>
      </c>
      <c r="W15">
        <v>98.3</v>
      </c>
      <c r="X15">
        <v>97</v>
      </c>
      <c r="Y15">
        <v>86</v>
      </c>
      <c r="Z15">
        <v>1961</v>
      </c>
      <c r="AA15">
        <v>2894</v>
      </c>
      <c r="AB15">
        <v>933</v>
      </c>
      <c r="AC15">
        <v>7433</v>
      </c>
      <c r="AD15">
        <v>40.4</v>
      </c>
      <c r="AE15">
        <v>1695</v>
      </c>
      <c r="AF15">
        <v>100.9</v>
      </c>
      <c r="AG15">
        <v>63</v>
      </c>
      <c r="AH15">
        <v>1257</v>
      </c>
      <c r="AI15">
        <v>50</v>
      </c>
      <c r="AJ15">
        <v>6</v>
      </c>
      <c r="AK15">
        <v>5.3</v>
      </c>
      <c r="AL15">
        <v>171</v>
      </c>
      <c r="AM15">
        <v>55.7</v>
      </c>
      <c r="AN15">
        <v>244</v>
      </c>
      <c r="AO15">
        <v>130</v>
      </c>
      <c r="AP15">
        <v>64</v>
      </c>
      <c r="AQ15">
        <v>6.3</v>
      </c>
      <c r="AR15">
        <v>134.80000000000001</v>
      </c>
      <c r="AS15">
        <v>3.5</v>
      </c>
      <c r="AT15">
        <v>29</v>
      </c>
      <c r="AU15">
        <v>96</v>
      </c>
      <c r="AV15">
        <v>27.4</v>
      </c>
      <c r="AW15">
        <v>1.7</v>
      </c>
      <c r="AX15">
        <v>16.3</v>
      </c>
      <c r="AY15">
        <v>7.9</v>
      </c>
      <c r="AZ15">
        <v>17.600000000000001</v>
      </c>
      <c r="BA15">
        <v>109</v>
      </c>
      <c r="BB15">
        <v>33</v>
      </c>
      <c r="BC15">
        <v>63</v>
      </c>
      <c r="BD15">
        <v>163</v>
      </c>
      <c r="BE15">
        <v>19</v>
      </c>
      <c r="BF15" t="s">
        <v>86</v>
      </c>
      <c r="BG15">
        <v>53</v>
      </c>
      <c r="BH15">
        <v>44.6</v>
      </c>
      <c r="BI15">
        <v>-11.7</v>
      </c>
      <c r="BJ15" t="s">
        <v>90</v>
      </c>
      <c r="BK15">
        <v>249</v>
      </c>
      <c r="BL15">
        <v>29</v>
      </c>
      <c r="BM15">
        <v>1.05</v>
      </c>
      <c r="BN15" t="s">
        <v>96</v>
      </c>
      <c r="BO15" t="s">
        <v>92</v>
      </c>
      <c r="BP15" t="s">
        <v>93</v>
      </c>
      <c r="BQ15" t="s">
        <v>94</v>
      </c>
      <c r="BR15">
        <v>1150</v>
      </c>
      <c r="BS15">
        <v>39</v>
      </c>
      <c r="BT15" t="s">
        <v>131</v>
      </c>
      <c r="BU15" t="s">
        <v>87</v>
      </c>
      <c r="BV15" t="s">
        <v>86</v>
      </c>
      <c r="BW15" t="s">
        <v>87</v>
      </c>
      <c r="BX15" t="s">
        <v>96</v>
      </c>
      <c r="BY15" t="s">
        <v>86</v>
      </c>
      <c r="BZ15" t="s">
        <v>86</v>
      </c>
      <c r="CA15">
        <v>17</v>
      </c>
      <c r="CB15" t="s">
        <v>104</v>
      </c>
      <c r="CC15" t="s">
        <v>87</v>
      </c>
    </row>
    <row r="16" spans="1:81">
      <c r="A16" t="s">
        <v>151</v>
      </c>
      <c r="B16" t="s">
        <v>152</v>
      </c>
      <c r="C16" t="s">
        <v>345</v>
      </c>
      <c r="D16" t="s">
        <v>83</v>
      </c>
      <c r="E16">
        <v>54</v>
      </c>
      <c r="F16" t="s">
        <v>113</v>
      </c>
      <c r="G16">
        <v>127</v>
      </c>
      <c r="H16">
        <v>184</v>
      </c>
      <c r="I16">
        <v>37.5</v>
      </c>
      <c r="J16">
        <v>115.5</v>
      </c>
      <c r="K16" t="s">
        <v>123</v>
      </c>
      <c r="L16" t="s">
        <v>86</v>
      </c>
      <c r="M16" t="s">
        <v>87</v>
      </c>
      <c r="N16" t="s">
        <v>87</v>
      </c>
      <c r="O16" t="s">
        <v>87</v>
      </c>
      <c r="P16" t="s">
        <v>88</v>
      </c>
      <c r="Q16">
        <v>19</v>
      </c>
      <c r="R16" t="s">
        <v>87</v>
      </c>
      <c r="S16" t="s">
        <v>87</v>
      </c>
      <c r="T16" t="s">
        <v>124</v>
      </c>
      <c r="U16">
        <v>110</v>
      </c>
      <c r="V16">
        <v>63</v>
      </c>
      <c r="W16">
        <v>78.7</v>
      </c>
      <c r="X16">
        <v>77</v>
      </c>
      <c r="Y16">
        <v>91</v>
      </c>
      <c r="Z16">
        <v>2578</v>
      </c>
      <c r="AA16">
        <v>3652</v>
      </c>
      <c r="AB16">
        <v>1074</v>
      </c>
      <c r="AC16">
        <v>17794</v>
      </c>
      <c r="AD16">
        <v>33.4</v>
      </c>
      <c r="AE16">
        <v>3309</v>
      </c>
      <c r="AF16">
        <v>105.4</v>
      </c>
      <c r="AG16">
        <v>68</v>
      </c>
      <c r="AH16">
        <v>430</v>
      </c>
      <c r="AI16">
        <v>15.6</v>
      </c>
      <c r="AJ16">
        <v>9.1</v>
      </c>
      <c r="AK16">
        <v>13.4</v>
      </c>
      <c r="AL16">
        <v>169</v>
      </c>
      <c r="AM16">
        <v>27.1</v>
      </c>
      <c r="AN16">
        <v>232</v>
      </c>
      <c r="AO16">
        <v>142</v>
      </c>
      <c r="AP16">
        <v>67</v>
      </c>
      <c r="AQ16">
        <v>2.8</v>
      </c>
      <c r="AR16">
        <v>131.4</v>
      </c>
      <c r="AS16">
        <v>4.5</v>
      </c>
      <c r="AT16">
        <v>99</v>
      </c>
      <c r="AU16">
        <v>21</v>
      </c>
      <c r="AV16">
        <v>38.700000000000003</v>
      </c>
      <c r="AW16">
        <v>2.1</v>
      </c>
      <c r="AX16">
        <v>12.8</v>
      </c>
      <c r="AY16">
        <v>7.4</v>
      </c>
      <c r="AZ16">
        <v>14.5</v>
      </c>
      <c r="BA16">
        <v>325</v>
      </c>
      <c r="BB16">
        <v>27</v>
      </c>
      <c r="BC16">
        <v>57</v>
      </c>
      <c r="BD16">
        <v>126</v>
      </c>
      <c r="BE16">
        <v>13.4</v>
      </c>
      <c r="BF16" t="s">
        <v>86</v>
      </c>
      <c r="BG16">
        <v>35</v>
      </c>
      <c r="BH16">
        <v>48.8</v>
      </c>
      <c r="BI16">
        <v>-12.1</v>
      </c>
      <c r="BJ16" t="s">
        <v>118</v>
      </c>
      <c r="BK16">
        <v>361</v>
      </c>
      <c r="BL16">
        <v>55</v>
      </c>
      <c r="BM16">
        <v>0.66</v>
      </c>
      <c r="BN16" t="s">
        <v>119</v>
      </c>
      <c r="BO16" t="s">
        <v>92</v>
      </c>
      <c r="BP16" t="s">
        <v>93</v>
      </c>
      <c r="BQ16" t="s">
        <v>103</v>
      </c>
      <c r="BR16">
        <v>985</v>
      </c>
      <c r="BS16">
        <v>31.9</v>
      </c>
      <c r="BT16" t="s">
        <v>153</v>
      </c>
      <c r="BU16" t="s">
        <v>87</v>
      </c>
      <c r="BV16" t="s">
        <v>86</v>
      </c>
      <c r="BW16" t="s">
        <v>87</v>
      </c>
      <c r="BX16" t="s">
        <v>154</v>
      </c>
      <c r="BY16" t="s">
        <v>86</v>
      </c>
      <c r="BZ16" t="s">
        <v>86</v>
      </c>
      <c r="CA16">
        <v>19</v>
      </c>
      <c r="CB16" t="s">
        <v>97</v>
      </c>
      <c r="CC16" t="s">
        <v>87</v>
      </c>
    </row>
    <row r="17" spans="1:81">
      <c r="A17" t="s">
        <v>155</v>
      </c>
      <c r="B17" t="s">
        <v>156</v>
      </c>
      <c r="C17" t="s">
        <v>345</v>
      </c>
      <c r="D17" t="s">
        <v>83</v>
      </c>
      <c r="E17">
        <v>44</v>
      </c>
      <c r="F17" t="s">
        <v>113</v>
      </c>
      <c r="G17">
        <v>95.1</v>
      </c>
      <c r="H17">
        <v>182</v>
      </c>
      <c r="I17">
        <v>28.7</v>
      </c>
      <c r="J17">
        <v>92</v>
      </c>
      <c r="K17" t="s">
        <v>114</v>
      </c>
      <c r="L17" t="s">
        <v>86</v>
      </c>
      <c r="M17" t="s">
        <v>87</v>
      </c>
      <c r="N17" t="s">
        <v>86</v>
      </c>
      <c r="O17" t="s">
        <v>87</v>
      </c>
      <c r="P17" t="s">
        <v>157</v>
      </c>
      <c r="Q17">
        <v>10</v>
      </c>
      <c r="R17" t="s">
        <v>87</v>
      </c>
      <c r="S17" t="s">
        <v>86</v>
      </c>
      <c r="T17" t="s">
        <v>102</v>
      </c>
      <c r="U17">
        <v>127</v>
      </c>
      <c r="V17">
        <v>82</v>
      </c>
      <c r="W17">
        <v>97</v>
      </c>
      <c r="X17">
        <v>120</v>
      </c>
      <c r="Y17">
        <v>98</v>
      </c>
      <c r="Z17">
        <v>3337</v>
      </c>
      <c r="AA17">
        <v>3408</v>
      </c>
      <c r="AB17">
        <v>71</v>
      </c>
      <c r="AC17">
        <v>26316</v>
      </c>
      <c r="AD17">
        <v>43.6</v>
      </c>
      <c r="AE17">
        <v>2222</v>
      </c>
      <c r="AF17">
        <v>76.400000000000006</v>
      </c>
      <c r="AG17">
        <v>42</v>
      </c>
      <c r="AH17">
        <v>569</v>
      </c>
      <c r="AI17">
        <v>10.199999999999999</v>
      </c>
      <c r="AJ17">
        <v>5.3</v>
      </c>
      <c r="AK17">
        <v>6.3</v>
      </c>
      <c r="AL17">
        <v>149</v>
      </c>
      <c r="AM17">
        <v>37.6</v>
      </c>
      <c r="AN17">
        <v>168</v>
      </c>
      <c r="AO17">
        <v>70</v>
      </c>
      <c r="AP17">
        <v>98</v>
      </c>
      <c r="AQ17">
        <v>9.6999999999999993</v>
      </c>
      <c r="AR17">
        <v>131.4</v>
      </c>
      <c r="AS17">
        <v>3.9</v>
      </c>
      <c r="AT17">
        <v>14</v>
      </c>
      <c r="AU17">
        <v>106</v>
      </c>
      <c r="AV17">
        <v>37.799999999999997</v>
      </c>
      <c r="AW17">
        <v>2.5</v>
      </c>
      <c r="AX17">
        <v>16.3</v>
      </c>
      <c r="AY17">
        <v>7.5</v>
      </c>
      <c r="AZ17">
        <v>12.1</v>
      </c>
      <c r="BA17">
        <v>268</v>
      </c>
      <c r="BB17">
        <v>25</v>
      </c>
      <c r="BC17">
        <v>66</v>
      </c>
      <c r="BD17">
        <v>156</v>
      </c>
      <c r="BE17">
        <v>14</v>
      </c>
      <c r="BF17" t="s">
        <v>86</v>
      </c>
      <c r="BG17">
        <v>52</v>
      </c>
      <c r="BH17">
        <v>56.2</v>
      </c>
      <c r="BI17">
        <v>-7.7</v>
      </c>
      <c r="BJ17" t="s">
        <v>115</v>
      </c>
      <c r="BK17">
        <v>175</v>
      </c>
      <c r="BL17">
        <v>19</v>
      </c>
      <c r="BM17">
        <v>1.06</v>
      </c>
      <c r="BN17" t="s">
        <v>91</v>
      </c>
      <c r="BO17" t="s">
        <v>92</v>
      </c>
      <c r="BP17" t="s">
        <v>93</v>
      </c>
      <c r="BQ17" t="s">
        <v>103</v>
      </c>
      <c r="BR17">
        <v>1058</v>
      </c>
      <c r="BS17">
        <v>36.799999999999997</v>
      </c>
      <c r="BT17" t="s">
        <v>131</v>
      </c>
      <c r="BU17" t="s">
        <v>86</v>
      </c>
      <c r="BV17" t="s">
        <v>86</v>
      </c>
      <c r="BW17" t="s">
        <v>86</v>
      </c>
      <c r="BX17" t="s">
        <v>96</v>
      </c>
      <c r="BY17" t="s">
        <v>87</v>
      </c>
      <c r="BZ17" t="s">
        <v>86</v>
      </c>
      <c r="CA17">
        <v>12</v>
      </c>
      <c r="CB17" t="s">
        <v>97</v>
      </c>
      <c r="CC17" t="s">
        <v>86</v>
      </c>
    </row>
    <row r="18" spans="1:81">
      <c r="A18" t="s">
        <v>158</v>
      </c>
      <c r="B18" t="s">
        <v>159</v>
      </c>
      <c r="C18" t="s">
        <v>345</v>
      </c>
      <c r="D18" t="s">
        <v>83</v>
      </c>
      <c r="E18">
        <v>42</v>
      </c>
      <c r="F18" t="s">
        <v>128</v>
      </c>
      <c r="G18">
        <v>131.69999999999999</v>
      </c>
      <c r="H18">
        <v>184</v>
      </c>
      <c r="I18">
        <v>38.9</v>
      </c>
      <c r="J18">
        <v>124.1</v>
      </c>
      <c r="K18" t="s">
        <v>123</v>
      </c>
      <c r="L18" t="s">
        <v>86</v>
      </c>
      <c r="M18" t="s">
        <v>86</v>
      </c>
      <c r="N18" t="s">
        <v>86</v>
      </c>
      <c r="O18" t="s">
        <v>87</v>
      </c>
      <c r="P18" t="s">
        <v>157</v>
      </c>
      <c r="Q18">
        <v>19</v>
      </c>
      <c r="R18" t="s">
        <v>86</v>
      </c>
      <c r="S18" t="s">
        <v>86</v>
      </c>
      <c r="T18" t="s">
        <v>89</v>
      </c>
      <c r="U18">
        <v>81</v>
      </c>
      <c r="V18">
        <v>73</v>
      </c>
      <c r="W18">
        <v>75.7</v>
      </c>
      <c r="X18">
        <v>127</v>
      </c>
      <c r="Y18">
        <v>95</v>
      </c>
      <c r="Z18">
        <v>2127</v>
      </c>
      <c r="AA18">
        <v>2219</v>
      </c>
      <c r="AB18">
        <v>92</v>
      </c>
      <c r="AC18">
        <v>9567</v>
      </c>
      <c r="AD18">
        <v>27</v>
      </c>
      <c r="AE18">
        <v>1008</v>
      </c>
      <c r="AF18">
        <v>88.4</v>
      </c>
      <c r="AG18">
        <v>70</v>
      </c>
      <c r="AH18">
        <v>1390</v>
      </c>
      <c r="AI18">
        <v>90.1</v>
      </c>
      <c r="AJ18">
        <v>5.5</v>
      </c>
      <c r="AK18">
        <v>6.6</v>
      </c>
      <c r="AL18">
        <v>142</v>
      </c>
      <c r="AM18">
        <v>49.9</v>
      </c>
      <c r="AN18">
        <v>300</v>
      </c>
      <c r="AO18">
        <v>153</v>
      </c>
      <c r="AP18">
        <v>62</v>
      </c>
      <c r="AQ18">
        <v>12.6</v>
      </c>
      <c r="AR18">
        <v>137.19999999999999</v>
      </c>
      <c r="AS18">
        <v>4</v>
      </c>
      <c r="AT18">
        <v>56</v>
      </c>
      <c r="AU18">
        <v>61</v>
      </c>
      <c r="AV18">
        <v>42.8</v>
      </c>
      <c r="AW18">
        <v>1.4</v>
      </c>
      <c r="AX18">
        <v>12.2</v>
      </c>
      <c r="AY18">
        <v>9.6</v>
      </c>
      <c r="AZ18">
        <v>16.8</v>
      </c>
      <c r="BA18">
        <v>93</v>
      </c>
      <c r="BB18">
        <v>19</v>
      </c>
      <c r="BC18">
        <v>77</v>
      </c>
      <c r="BD18">
        <v>167</v>
      </c>
      <c r="BE18">
        <v>17.2</v>
      </c>
      <c r="BF18" t="s">
        <v>87</v>
      </c>
      <c r="BG18">
        <v>66</v>
      </c>
      <c r="BH18">
        <v>38.700000000000003</v>
      </c>
      <c r="BI18">
        <v>-5.9</v>
      </c>
      <c r="BJ18" t="s">
        <v>90</v>
      </c>
      <c r="BK18">
        <v>56</v>
      </c>
      <c r="BL18">
        <v>31</v>
      </c>
      <c r="BM18">
        <v>0.93</v>
      </c>
      <c r="BN18" t="s">
        <v>96</v>
      </c>
      <c r="BO18" t="s">
        <v>92</v>
      </c>
      <c r="BP18" t="s">
        <v>93</v>
      </c>
      <c r="BQ18" t="s">
        <v>94</v>
      </c>
      <c r="BR18">
        <v>1146</v>
      </c>
      <c r="BS18">
        <v>40.1</v>
      </c>
      <c r="BT18" t="s">
        <v>110</v>
      </c>
      <c r="BU18" t="s">
        <v>87</v>
      </c>
      <c r="BV18" t="s">
        <v>86</v>
      </c>
      <c r="BW18" t="s">
        <v>86</v>
      </c>
      <c r="BX18" t="s">
        <v>96</v>
      </c>
      <c r="BY18" t="s">
        <v>86</v>
      </c>
      <c r="BZ18" t="s">
        <v>86</v>
      </c>
      <c r="CA18">
        <v>15</v>
      </c>
      <c r="CB18" t="s">
        <v>104</v>
      </c>
      <c r="CC18" t="s">
        <v>87</v>
      </c>
    </row>
    <row r="19" spans="1:81">
      <c r="A19" t="s">
        <v>160</v>
      </c>
      <c r="B19" t="s">
        <v>161</v>
      </c>
      <c r="C19" t="s">
        <v>345</v>
      </c>
      <c r="D19" t="s">
        <v>83</v>
      </c>
      <c r="E19">
        <v>39</v>
      </c>
      <c r="F19" t="s">
        <v>128</v>
      </c>
      <c r="G19">
        <v>130.80000000000001</v>
      </c>
      <c r="H19">
        <v>182</v>
      </c>
      <c r="I19">
        <v>39.5</v>
      </c>
      <c r="J19">
        <v>115.8</v>
      </c>
      <c r="K19" t="s">
        <v>123</v>
      </c>
      <c r="L19" t="s">
        <v>87</v>
      </c>
      <c r="M19" t="s">
        <v>87</v>
      </c>
      <c r="N19" t="s">
        <v>86</v>
      </c>
      <c r="O19" t="s">
        <v>87</v>
      </c>
      <c r="P19" t="s">
        <v>157</v>
      </c>
      <c r="Q19">
        <v>4</v>
      </c>
      <c r="R19" t="s">
        <v>86</v>
      </c>
      <c r="S19" t="s">
        <v>86</v>
      </c>
      <c r="T19" t="s">
        <v>124</v>
      </c>
      <c r="U19">
        <v>113</v>
      </c>
      <c r="V19">
        <v>85</v>
      </c>
      <c r="W19">
        <v>94.3</v>
      </c>
      <c r="X19">
        <v>116</v>
      </c>
      <c r="Y19">
        <v>93</v>
      </c>
      <c r="Z19">
        <v>1897</v>
      </c>
      <c r="AA19">
        <v>2359</v>
      </c>
      <c r="AB19">
        <v>462</v>
      </c>
      <c r="AC19">
        <v>5188</v>
      </c>
      <c r="AD19">
        <v>33.9</v>
      </c>
      <c r="AE19">
        <v>2518</v>
      </c>
      <c r="AF19">
        <v>118.4</v>
      </c>
      <c r="AG19">
        <v>69</v>
      </c>
      <c r="AH19">
        <v>942</v>
      </c>
      <c r="AI19">
        <v>167.4</v>
      </c>
      <c r="AJ19">
        <v>5.6</v>
      </c>
      <c r="AK19">
        <v>5.8</v>
      </c>
      <c r="AL19">
        <v>183</v>
      </c>
      <c r="AM19">
        <v>29.2</v>
      </c>
      <c r="AN19">
        <v>177</v>
      </c>
      <c r="AO19">
        <v>162</v>
      </c>
      <c r="AP19">
        <v>69</v>
      </c>
      <c r="AQ19">
        <v>6.9</v>
      </c>
      <c r="AR19">
        <v>134.69999999999999</v>
      </c>
      <c r="AS19">
        <v>4.7</v>
      </c>
      <c r="AT19">
        <v>60</v>
      </c>
      <c r="AU19">
        <v>56</v>
      </c>
      <c r="AV19">
        <v>35.1</v>
      </c>
      <c r="AW19">
        <v>2.5</v>
      </c>
      <c r="AX19">
        <v>14.3</v>
      </c>
      <c r="AY19">
        <v>2.9</v>
      </c>
      <c r="AZ19">
        <v>14</v>
      </c>
      <c r="BA19">
        <v>310</v>
      </c>
      <c r="BB19">
        <v>24</v>
      </c>
      <c r="BC19">
        <v>73</v>
      </c>
      <c r="BD19">
        <v>126</v>
      </c>
      <c r="BE19">
        <v>22.8</v>
      </c>
      <c r="BF19" t="s">
        <v>86</v>
      </c>
      <c r="BG19">
        <v>52</v>
      </c>
      <c r="BH19">
        <v>29.1</v>
      </c>
      <c r="BI19">
        <v>-13.8</v>
      </c>
      <c r="BJ19" t="s">
        <v>162</v>
      </c>
      <c r="BK19">
        <v>464</v>
      </c>
      <c r="BL19">
        <v>36</v>
      </c>
      <c r="BM19">
        <v>1</v>
      </c>
      <c r="BN19" t="s">
        <v>119</v>
      </c>
      <c r="BO19" t="s">
        <v>109</v>
      </c>
      <c r="BP19" t="s">
        <v>93</v>
      </c>
      <c r="BQ19" t="s">
        <v>94</v>
      </c>
      <c r="BR19">
        <v>1134</v>
      </c>
      <c r="BS19">
        <v>43.1</v>
      </c>
      <c r="BT19" t="s">
        <v>153</v>
      </c>
      <c r="BU19" t="s">
        <v>87</v>
      </c>
      <c r="BV19" t="s">
        <v>86</v>
      </c>
      <c r="BW19" t="s">
        <v>87</v>
      </c>
      <c r="BX19" t="s">
        <v>96</v>
      </c>
      <c r="BY19" t="s">
        <v>86</v>
      </c>
      <c r="BZ19" t="s">
        <v>86</v>
      </c>
      <c r="CA19">
        <v>12</v>
      </c>
      <c r="CB19" t="s">
        <v>97</v>
      </c>
      <c r="CC19" t="s">
        <v>87</v>
      </c>
    </row>
    <row r="20" spans="1:81">
      <c r="A20" t="s">
        <v>163</v>
      </c>
      <c r="B20" t="s">
        <v>164</v>
      </c>
      <c r="C20" t="s">
        <v>345</v>
      </c>
      <c r="D20" t="s">
        <v>83</v>
      </c>
      <c r="E20">
        <v>57</v>
      </c>
      <c r="F20" t="s">
        <v>128</v>
      </c>
      <c r="G20">
        <v>85.7</v>
      </c>
      <c r="H20">
        <v>169</v>
      </c>
      <c r="I20">
        <v>30</v>
      </c>
      <c r="J20">
        <v>96.9</v>
      </c>
      <c r="K20" t="s">
        <v>100</v>
      </c>
      <c r="L20" t="s">
        <v>87</v>
      </c>
      <c r="M20" t="s">
        <v>87</v>
      </c>
      <c r="N20" t="s">
        <v>86</v>
      </c>
      <c r="O20" t="s">
        <v>87</v>
      </c>
      <c r="P20" t="s">
        <v>134</v>
      </c>
      <c r="Q20">
        <v>0</v>
      </c>
      <c r="R20" t="s">
        <v>86</v>
      </c>
      <c r="S20" t="s">
        <v>87</v>
      </c>
      <c r="T20" t="s">
        <v>124</v>
      </c>
      <c r="U20">
        <v>108</v>
      </c>
      <c r="V20">
        <v>79</v>
      </c>
      <c r="W20">
        <v>88.7</v>
      </c>
      <c r="X20">
        <v>84</v>
      </c>
      <c r="Y20">
        <v>98</v>
      </c>
      <c r="Z20">
        <v>1988</v>
      </c>
      <c r="AA20">
        <v>2532</v>
      </c>
      <c r="AB20">
        <v>544</v>
      </c>
      <c r="AC20">
        <v>8555</v>
      </c>
      <c r="AD20">
        <v>17.899999999999999</v>
      </c>
      <c r="AE20">
        <v>4477</v>
      </c>
      <c r="AF20">
        <v>17</v>
      </c>
      <c r="AG20">
        <v>43</v>
      </c>
      <c r="AH20">
        <v>544</v>
      </c>
      <c r="AI20">
        <v>26.1</v>
      </c>
      <c r="AJ20">
        <v>6.2</v>
      </c>
      <c r="AK20">
        <v>6.9</v>
      </c>
      <c r="AL20">
        <v>206</v>
      </c>
      <c r="AM20">
        <v>36.200000000000003</v>
      </c>
      <c r="AN20">
        <v>309</v>
      </c>
      <c r="AO20">
        <v>102</v>
      </c>
      <c r="AP20">
        <v>79</v>
      </c>
      <c r="AQ20">
        <v>4</v>
      </c>
      <c r="AR20">
        <v>135.9</v>
      </c>
      <c r="AS20">
        <v>2.9</v>
      </c>
      <c r="AT20">
        <v>54</v>
      </c>
      <c r="AU20">
        <v>86</v>
      </c>
      <c r="AV20">
        <v>38.4</v>
      </c>
      <c r="AW20">
        <v>1.4</v>
      </c>
      <c r="AX20">
        <v>14.1</v>
      </c>
      <c r="AY20">
        <v>4.7</v>
      </c>
      <c r="AZ20">
        <v>12.6</v>
      </c>
      <c r="BA20">
        <v>262</v>
      </c>
      <c r="BB20">
        <v>36</v>
      </c>
      <c r="BC20">
        <v>74</v>
      </c>
      <c r="BD20">
        <v>138</v>
      </c>
      <c r="BE20">
        <v>22.7</v>
      </c>
      <c r="BF20" t="s">
        <v>86</v>
      </c>
      <c r="BG20">
        <v>39</v>
      </c>
      <c r="BH20">
        <v>47.6</v>
      </c>
      <c r="BI20">
        <v>-12.3</v>
      </c>
      <c r="BJ20" t="s">
        <v>115</v>
      </c>
      <c r="BK20">
        <v>1549</v>
      </c>
      <c r="BL20">
        <v>21</v>
      </c>
      <c r="BM20">
        <v>0.98</v>
      </c>
      <c r="BN20" t="s">
        <v>96</v>
      </c>
      <c r="BO20" t="s">
        <v>92</v>
      </c>
      <c r="BP20" t="s">
        <v>93</v>
      </c>
      <c r="BQ20" t="s">
        <v>103</v>
      </c>
      <c r="BR20">
        <v>1088</v>
      </c>
      <c r="BS20">
        <v>27.5</v>
      </c>
      <c r="BT20" t="s">
        <v>153</v>
      </c>
      <c r="BU20" t="s">
        <v>87</v>
      </c>
      <c r="BV20" t="s">
        <v>87</v>
      </c>
      <c r="BW20" t="s">
        <v>87</v>
      </c>
      <c r="BX20" t="s">
        <v>96</v>
      </c>
      <c r="BY20" t="s">
        <v>86</v>
      </c>
      <c r="BZ20" t="s">
        <v>86</v>
      </c>
      <c r="CA20">
        <v>8</v>
      </c>
      <c r="CB20" t="s">
        <v>97</v>
      </c>
      <c r="CC20" t="s">
        <v>87</v>
      </c>
    </row>
    <row r="21" spans="1:81">
      <c r="A21" t="s">
        <v>165</v>
      </c>
      <c r="B21" t="s">
        <v>166</v>
      </c>
      <c r="C21" t="s">
        <v>345</v>
      </c>
      <c r="D21" t="s">
        <v>83</v>
      </c>
      <c r="E21">
        <v>50</v>
      </c>
      <c r="F21" t="s">
        <v>167</v>
      </c>
      <c r="G21">
        <v>111.1</v>
      </c>
      <c r="H21">
        <v>171</v>
      </c>
      <c r="I21">
        <v>38</v>
      </c>
      <c r="J21">
        <v>121.7</v>
      </c>
      <c r="K21" t="s">
        <v>123</v>
      </c>
      <c r="L21" t="s">
        <v>87</v>
      </c>
      <c r="M21" t="s">
        <v>87</v>
      </c>
      <c r="N21" t="s">
        <v>87</v>
      </c>
      <c r="O21" t="s">
        <v>87</v>
      </c>
      <c r="P21" t="s">
        <v>108</v>
      </c>
      <c r="Q21">
        <v>22</v>
      </c>
      <c r="R21" t="s">
        <v>87</v>
      </c>
      <c r="S21" t="s">
        <v>86</v>
      </c>
      <c r="T21" t="s">
        <v>89</v>
      </c>
      <c r="U21">
        <v>85</v>
      </c>
      <c r="V21">
        <v>90</v>
      </c>
      <c r="W21">
        <v>88.3</v>
      </c>
      <c r="X21">
        <v>93</v>
      </c>
      <c r="Y21">
        <v>89</v>
      </c>
      <c r="Z21">
        <v>3765</v>
      </c>
      <c r="AA21">
        <v>3886</v>
      </c>
      <c r="AB21">
        <v>121</v>
      </c>
      <c r="AC21">
        <v>35362</v>
      </c>
      <c r="AD21">
        <v>30.9</v>
      </c>
      <c r="AE21">
        <v>6730</v>
      </c>
      <c r="AF21">
        <v>73.2</v>
      </c>
      <c r="AG21">
        <v>53</v>
      </c>
      <c r="AH21">
        <v>1621</v>
      </c>
      <c r="AI21">
        <v>35.200000000000003</v>
      </c>
      <c r="AJ21">
        <v>9.9</v>
      </c>
      <c r="AK21">
        <v>11.7</v>
      </c>
      <c r="AL21">
        <v>102</v>
      </c>
      <c r="AM21">
        <v>30.9</v>
      </c>
      <c r="AN21">
        <v>290</v>
      </c>
      <c r="AO21">
        <v>180</v>
      </c>
      <c r="AP21">
        <v>33</v>
      </c>
      <c r="AQ21">
        <v>11.6</v>
      </c>
      <c r="AR21">
        <v>137.6</v>
      </c>
      <c r="AS21">
        <v>4.2</v>
      </c>
      <c r="AT21">
        <v>14</v>
      </c>
      <c r="AU21">
        <v>51</v>
      </c>
      <c r="AV21">
        <v>39.799999999999997</v>
      </c>
      <c r="AW21">
        <v>2.2999999999999998</v>
      </c>
      <c r="AX21">
        <v>14.9</v>
      </c>
      <c r="AY21">
        <v>2.1</v>
      </c>
      <c r="AZ21">
        <v>14.4</v>
      </c>
      <c r="BA21">
        <v>309</v>
      </c>
      <c r="BB21">
        <v>15</v>
      </c>
      <c r="BC21">
        <v>70</v>
      </c>
      <c r="BD21">
        <v>144</v>
      </c>
      <c r="BE21">
        <v>8</v>
      </c>
      <c r="BF21" t="s">
        <v>87</v>
      </c>
      <c r="BG21">
        <v>52</v>
      </c>
      <c r="BH21">
        <v>62.6</v>
      </c>
      <c r="BI21">
        <v>-14.2</v>
      </c>
      <c r="BJ21" t="s">
        <v>115</v>
      </c>
      <c r="BK21">
        <v>444</v>
      </c>
      <c r="BL21">
        <v>32</v>
      </c>
      <c r="BM21">
        <v>1</v>
      </c>
      <c r="BN21" t="s">
        <v>96</v>
      </c>
      <c r="BO21" t="s">
        <v>92</v>
      </c>
      <c r="BP21" t="s">
        <v>93</v>
      </c>
      <c r="BQ21" t="s">
        <v>94</v>
      </c>
      <c r="BR21">
        <v>1147</v>
      </c>
      <c r="BS21">
        <v>36</v>
      </c>
      <c r="BT21" t="s">
        <v>110</v>
      </c>
      <c r="BU21" t="s">
        <v>87</v>
      </c>
      <c r="BV21" t="s">
        <v>86</v>
      </c>
      <c r="BW21" t="s">
        <v>86</v>
      </c>
      <c r="BX21" t="s">
        <v>96</v>
      </c>
      <c r="BY21" t="s">
        <v>87</v>
      </c>
      <c r="BZ21" t="s">
        <v>86</v>
      </c>
      <c r="CA21">
        <v>13</v>
      </c>
      <c r="CB21" t="s">
        <v>104</v>
      </c>
      <c r="CC21" t="s">
        <v>87</v>
      </c>
    </row>
    <row r="22" spans="1:81">
      <c r="A22" t="s">
        <v>168</v>
      </c>
      <c r="B22" t="s">
        <v>169</v>
      </c>
      <c r="C22" t="s">
        <v>345</v>
      </c>
      <c r="D22" t="s">
        <v>83</v>
      </c>
      <c r="E22">
        <v>44</v>
      </c>
      <c r="F22" t="s">
        <v>107</v>
      </c>
      <c r="G22">
        <v>81.3</v>
      </c>
      <c r="H22">
        <v>180</v>
      </c>
      <c r="I22">
        <v>25.1</v>
      </c>
      <c r="J22">
        <v>85</v>
      </c>
      <c r="K22" t="s">
        <v>114</v>
      </c>
      <c r="L22" t="s">
        <v>86</v>
      </c>
      <c r="M22" t="s">
        <v>87</v>
      </c>
      <c r="N22" t="s">
        <v>87</v>
      </c>
      <c r="O22" t="s">
        <v>87</v>
      </c>
      <c r="P22" t="s">
        <v>101</v>
      </c>
      <c r="Q22">
        <v>9</v>
      </c>
      <c r="R22" t="s">
        <v>86</v>
      </c>
      <c r="S22" t="s">
        <v>87</v>
      </c>
      <c r="T22" t="s">
        <v>102</v>
      </c>
      <c r="U22">
        <v>83</v>
      </c>
      <c r="V22">
        <v>71</v>
      </c>
      <c r="W22">
        <v>75</v>
      </c>
      <c r="X22">
        <v>148</v>
      </c>
      <c r="Y22">
        <v>97</v>
      </c>
      <c r="Z22">
        <v>3777</v>
      </c>
      <c r="AA22">
        <v>5369</v>
      </c>
      <c r="AB22">
        <v>1592</v>
      </c>
      <c r="AC22">
        <v>8438</v>
      </c>
      <c r="AD22">
        <v>38.4</v>
      </c>
      <c r="AE22">
        <v>1601</v>
      </c>
      <c r="AF22">
        <v>10.7</v>
      </c>
      <c r="AG22">
        <v>54</v>
      </c>
      <c r="AH22">
        <v>637</v>
      </c>
      <c r="AI22">
        <v>20.8</v>
      </c>
      <c r="AJ22">
        <v>8.4</v>
      </c>
      <c r="AK22">
        <v>14.6</v>
      </c>
      <c r="AL22">
        <v>133</v>
      </c>
      <c r="AM22">
        <v>53.5</v>
      </c>
      <c r="AN22">
        <v>277</v>
      </c>
      <c r="AO22">
        <v>73</v>
      </c>
      <c r="AP22">
        <v>114</v>
      </c>
      <c r="AQ22">
        <v>9.5</v>
      </c>
      <c r="AR22">
        <v>134.4</v>
      </c>
      <c r="AS22">
        <v>4.9000000000000004</v>
      </c>
      <c r="AT22">
        <v>14</v>
      </c>
      <c r="AU22">
        <v>97</v>
      </c>
      <c r="AV22">
        <v>34.799999999999997</v>
      </c>
      <c r="AW22">
        <v>1.4</v>
      </c>
      <c r="AX22">
        <v>13.7</v>
      </c>
      <c r="AY22">
        <v>4.5999999999999996</v>
      </c>
      <c r="AZ22">
        <v>12.6</v>
      </c>
      <c r="BA22">
        <v>203</v>
      </c>
      <c r="BB22">
        <v>30</v>
      </c>
      <c r="BC22">
        <v>57</v>
      </c>
      <c r="BD22">
        <v>135</v>
      </c>
      <c r="BE22">
        <v>21.4</v>
      </c>
      <c r="BF22" t="s">
        <v>86</v>
      </c>
      <c r="BG22">
        <v>49</v>
      </c>
      <c r="BH22">
        <v>57.6</v>
      </c>
      <c r="BI22">
        <v>-7.9</v>
      </c>
      <c r="BJ22" t="s">
        <v>115</v>
      </c>
      <c r="BK22">
        <v>0</v>
      </c>
      <c r="BL22">
        <v>28</v>
      </c>
      <c r="BM22">
        <v>1.03</v>
      </c>
      <c r="BN22" t="s">
        <v>96</v>
      </c>
      <c r="BO22" t="s">
        <v>92</v>
      </c>
      <c r="BP22" t="s">
        <v>93</v>
      </c>
      <c r="BQ22" t="s">
        <v>103</v>
      </c>
      <c r="BR22">
        <v>1005</v>
      </c>
      <c r="BS22">
        <v>46.1</v>
      </c>
      <c r="BT22" t="s">
        <v>143</v>
      </c>
      <c r="BU22" t="s">
        <v>87</v>
      </c>
      <c r="BV22" t="s">
        <v>86</v>
      </c>
      <c r="BW22" t="s">
        <v>86</v>
      </c>
      <c r="BX22" t="s">
        <v>96</v>
      </c>
      <c r="BY22" t="s">
        <v>86</v>
      </c>
      <c r="BZ22" t="s">
        <v>86</v>
      </c>
      <c r="CA22">
        <v>15</v>
      </c>
      <c r="CB22" t="s">
        <v>104</v>
      </c>
      <c r="CC22" t="s">
        <v>87</v>
      </c>
    </row>
    <row r="23" spans="1:81">
      <c r="A23" t="s">
        <v>170</v>
      </c>
      <c r="B23" t="s">
        <v>171</v>
      </c>
      <c r="C23" t="s">
        <v>345</v>
      </c>
      <c r="D23" t="s">
        <v>83</v>
      </c>
      <c r="E23">
        <v>32</v>
      </c>
      <c r="F23" t="s">
        <v>128</v>
      </c>
      <c r="G23">
        <v>96.4</v>
      </c>
      <c r="H23">
        <v>163</v>
      </c>
      <c r="I23">
        <v>36.299999999999997</v>
      </c>
      <c r="J23">
        <v>111.9</v>
      </c>
      <c r="K23" t="s">
        <v>123</v>
      </c>
      <c r="L23" t="s">
        <v>87</v>
      </c>
      <c r="M23" t="s">
        <v>86</v>
      </c>
      <c r="N23" t="s">
        <v>86</v>
      </c>
      <c r="O23" t="s">
        <v>87</v>
      </c>
      <c r="P23" t="s">
        <v>88</v>
      </c>
      <c r="Q23">
        <v>9</v>
      </c>
      <c r="R23" t="s">
        <v>86</v>
      </c>
      <c r="S23" t="s">
        <v>86</v>
      </c>
      <c r="T23" t="s">
        <v>102</v>
      </c>
      <c r="U23">
        <v>90</v>
      </c>
      <c r="V23">
        <v>119</v>
      </c>
      <c r="W23">
        <v>109.3</v>
      </c>
      <c r="X23">
        <v>108</v>
      </c>
      <c r="Y23">
        <v>96</v>
      </c>
      <c r="Z23">
        <v>12273</v>
      </c>
      <c r="AA23">
        <v>16805</v>
      </c>
      <c r="AB23">
        <v>4532</v>
      </c>
      <c r="AC23">
        <v>43283</v>
      </c>
      <c r="AD23">
        <v>59.8</v>
      </c>
      <c r="AE23">
        <v>2598</v>
      </c>
      <c r="AF23">
        <v>67.099999999999994</v>
      </c>
      <c r="AG23">
        <v>63</v>
      </c>
      <c r="AH23">
        <v>1219</v>
      </c>
      <c r="AI23">
        <v>32.700000000000003</v>
      </c>
      <c r="AJ23">
        <v>6.1</v>
      </c>
      <c r="AK23">
        <v>6</v>
      </c>
      <c r="AL23">
        <v>100</v>
      </c>
      <c r="AM23">
        <v>36.799999999999997</v>
      </c>
      <c r="AN23">
        <v>172</v>
      </c>
      <c r="AO23">
        <v>146</v>
      </c>
      <c r="AP23">
        <v>74</v>
      </c>
      <c r="AQ23">
        <v>6.2</v>
      </c>
      <c r="AR23">
        <v>135.1</v>
      </c>
      <c r="AS23">
        <v>4.3</v>
      </c>
      <c r="AT23">
        <v>28</v>
      </c>
      <c r="AU23">
        <v>54</v>
      </c>
      <c r="AV23">
        <v>38</v>
      </c>
      <c r="AW23">
        <v>1.9</v>
      </c>
      <c r="AX23">
        <v>13.8</v>
      </c>
      <c r="AY23">
        <v>5.0999999999999996</v>
      </c>
      <c r="AZ23">
        <v>16</v>
      </c>
      <c r="BA23">
        <v>349</v>
      </c>
      <c r="BB23">
        <v>23</v>
      </c>
      <c r="BC23">
        <v>71</v>
      </c>
      <c r="BD23">
        <v>129</v>
      </c>
      <c r="BE23">
        <v>23.7</v>
      </c>
      <c r="BF23" t="s">
        <v>87</v>
      </c>
      <c r="BG23">
        <v>43</v>
      </c>
      <c r="BH23">
        <v>42.3</v>
      </c>
      <c r="BI23">
        <v>-12.7</v>
      </c>
      <c r="BJ23" t="s">
        <v>115</v>
      </c>
      <c r="BK23">
        <v>184</v>
      </c>
      <c r="BL23">
        <v>43</v>
      </c>
      <c r="BM23">
        <v>0.87</v>
      </c>
      <c r="BN23" t="s">
        <v>91</v>
      </c>
      <c r="BO23" t="s">
        <v>92</v>
      </c>
      <c r="BP23" t="s">
        <v>93</v>
      </c>
      <c r="BQ23" t="s">
        <v>94</v>
      </c>
      <c r="BR23">
        <v>1132</v>
      </c>
      <c r="BS23">
        <v>37.9</v>
      </c>
      <c r="BT23" t="s">
        <v>95</v>
      </c>
      <c r="BU23" t="s">
        <v>87</v>
      </c>
      <c r="BV23" t="s">
        <v>87</v>
      </c>
      <c r="BW23" t="s">
        <v>87</v>
      </c>
      <c r="BX23" t="s">
        <v>96</v>
      </c>
      <c r="BY23" t="s">
        <v>86</v>
      </c>
      <c r="BZ23" t="s">
        <v>86</v>
      </c>
      <c r="CA23">
        <v>10</v>
      </c>
      <c r="CB23" t="s">
        <v>104</v>
      </c>
      <c r="CC23" t="s">
        <v>87</v>
      </c>
    </row>
    <row r="24" spans="1:81">
      <c r="A24" t="s">
        <v>172</v>
      </c>
      <c r="B24" t="s">
        <v>173</v>
      </c>
      <c r="C24" t="s">
        <v>345</v>
      </c>
      <c r="D24" t="s">
        <v>83</v>
      </c>
      <c r="E24">
        <v>52</v>
      </c>
      <c r="F24" t="s">
        <v>113</v>
      </c>
      <c r="G24">
        <v>77.2</v>
      </c>
      <c r="H24">
        <v>173</v>
      </c>
      <c r="I24">
        <v>25.8</v>
      </c>
      <c r="J24">
        <v>91.3</v>
      </c>
      <c r="K24" t="s">
        <v>114</v>
      </c>
      <c r="L24" t="s">
        <v>87</v>
      </c>
      <c r="M24" t="s">
        <v>87</v>
      </c>
      <c r="N24" t="s">
        <v>86</v>
      </c>
      <c r="O24" t="s">
        <v>86</v>
      </c>
      <c r="P24" t="s">
        <v>101</v>
      </c>
      <c r="Q24">
        <v>9</v>
      </c>
      <c r="R24" t="s">
        <v>86</v>
      </c>
      <c r="S24" t="s">
        <v>86</v>
      </c>
      <c r="T24" t="s">
        <v>102</v>
      </c>
      <c r="U24">
        <v>154</v>
      </c>
      <c r="V24">
        <v>65</v>
      </c>
      <c r="W24">
        <v>94.7</v>
      </c>
      <c r="X24">
        <v>119</v>
      </c>
      <c r="Y24">
        <v>97</v>
      </c>
      <c r="Z24">
        <v>3414</v>
      </c>
      <c r="AA24">
        <v>5641</v>
      </c>
      <c r="AB24">
        <v>2227</v>
      </c>
      <c r="AC24">
        <v>16736</v>
      </c>
      <c r="AD24">
        <v>32.1</v>
      </c>
      <c r="AE24">
        <v>1434</v>
      </c>
      <c r="AF24">
        <v>37.5</v>
      </c>
      <c r="AG24">
        <v>63</v>
      </c>
      <c r="AH24">
        <v>827</v>
      </c>
      <c r="AI24">
        <v>26</v>
      </c>
      <c r="AJ24">
        <v>5.6</v>
      </c>
      <c r="AK24">
        <v>6</v>
      </c>
      <c r="AL24">
        <v>148</v>
      </c>
      <c r="AM24">
        <v>48.8</v>
      </c>
      <c r="AN24">
        <v>143</v>
      </c>
      <c r="AO24">
        <v>103</v>
      </c>
      <c r="AP24">
        <v>76</v>
      </c>
      <c r="AQ24">
        <v>6.6</v>
      </c>
      <c r="AR24">
        <v>140.1</v>
      </c>
      <c r="AS24">
        <v>4.8</v>
      </c>
      <c r="AT24">
        <v>82</v>
      </c>
      <c r="AU24">
        <v>74</v>
      </c>
      <c r="AV24">
        <v>36.200000000000003</v>
      </c>
      <c r="AW24">
        <v>1.2</v>
      </c>
      <c r="AX24">
        <v>10</v>
      </c>
      <c r="AY24">
        <v>6</v>
      </c>
      <c r="AZ24">
        <v>14.8</v>
      </c>
      <c r="BA24">
        <v>320</v>
      </c>
      <c r="BB24">
        <v>33</v>
      </c>
      <c r="BC24">
        <v>57</v>
      </c>
      <c r="BD24">
        <v>154</v>
      </c>
      <c r="BE24">
        <v>8</v>
      </c>
      <c r="BF24" t="s">
        <v>86</v>
      </c>
      <c r="BG24">
        <v>51</v>
      </c>
      <c r="BH24">
        <v>40.299999999999997</v>
      </c>
      <c r="BI24">
        <v>-15.1</v>
      </c>
      <c r="BJ24" t="s">
        <v>162</v>
      </c>
      <c r="BK24">
        <v>31</v>
      </c>
      <c r="BL24">
        <v>38</v>
      </c>
      <c r="BM24">
        <v>1.04</v>
      </c>
      <c r="BN24" t="s">
        <v>91</v>
      </c>
      <c r="BO24" t="s">
        <v>92</v>
      </c>
      <c r="BP24" t="s">
        <v>93</v>
      </c>
      <c r="BQ24" t="s">
        <v>103</v>
      </c>
      <c r="BR24">
        <v>1067</v>
      </c>
      <c r="BS24">
        <v>32.700000000000003</v>
      </c>
      <c r="BT24" t="s">
        <v>153</v>
      </c>
      <c r="BU24" t="s">
        <v>86</v>
      </c>
      <c r="BV24" t="s">
        <v>86</v>
      </c>
      <c r="BW24" t="s">
        <v>86</v>
      </c>
      <c r="BX24" t="s">
        <v>96</v>
      </c>
      <c r="BY24" t="s">
        <v>86</v>
      </c>
      <c r="BZ24" t="s">
        <v>86</v>
      </c>
      <c r="CA24">
        <v>6</v>
      </c>
      <c r="CB24" t="s">
        <v>97</v>
      </c>
      <c r="CC24" t="s">
        <v>86</v>
      </c>
    </row>
    <row r="25" spans="1:81">
      <c r="A25" t="s">
        <v>174</v>
      </c>
      <c r="B25" t="s">
        <v>175</v>
      </c>
      <c r="C25" t="s">
        <v>345</v>
      </c>
      <c r="D25" t="s">
        <v>83</v>
      </c>
      <c r="E25">
        <v>32</v>
      </c>
      <c r="F25" t="s">
        <v>128</v>
      </c>
      <c r="G25">
        <v>131.80000000000001</v>
      </c>
      <c r="H25">
        <v>182</v>
      </c>
      <c r="I25">
        <v>39.799999999999997</v>
      </c>
      <c r="J25">
        <v>123.6</v>
      </c>
      <c r="K25" t="s">
        <v>123</v>
      </c>
      <c r="L25" t="s">
        <v>87</v>
      </c>
      <c r="M25" t="s">
        <v>86</v>
      </c>
      <c r="N25" t="s">
        <v>86</v>
      </c>
      <c r="O25" t="s">
        <v>87</v>
      </c>
      <c r="P25" t="s">
        <v>88</v>
      </c>
      <c r="Q25">
        <v>20</v>
      </c>
      <c r="R25" t="s">
        <v>87</v>
      </c>
      <c r="S25" t="s">
        <v>87</v>
      </c>
      <c r="T25" t="s">
        <v>89</v>
      </c>
      <c r="U25">
        <v>135</v>
      </c>
      <c r="V25">
        <v>63</v>
      </c>
      <c r="W25">
        <v>87</v>
      </c>
      <c r="X25">
        <v>106</v>
      </c>
      <c r="Y25">
        <v>85</v>
      </c>
      <c r="Z25">
        <v>2025</v>
      </c>
      <c r="AA25">
        <v>2149</v>
      </c>
      <c r="AB25">
        <v>124</v>
      </c>
      <c r="AC25">
        <v>13442</v>
      </c>
      <c r="AD25">
        <v>18.8</v>
      </c>
      <c r="AE25">
        <v>7601</v>
      </c>
      <c r="AF25">
        <v>49.2</v>
      </c>
      <c r="AG25">
        <v>75</v>
      </c>
      <c r="AH25">
        <v>1100</v>
      </c>
      <c r="AI25">
        <v>5.2</v>
      </c>
      <c r="AJ25">
        <v>5.9</v>
      </c>
      <c r="AK25">
        <v>6.3</v>
      </c>
      <c r="AL25">
        <v>162</v>
      </c>
      <c r="AM25">
        <v>37.700000000000003</v>
      </c>
      <c r="AN25">
        <v>172</v>
      </c>
      <c r="AO25">
        <v>160</v>
      </c>
      <c r="AP25">
        <v>73</v>
      </c>
      <c r="AQ25">
        <v>5.9</v>
      </c>
      <c r="AR25">
        <v>143.80000000000001</v>
      </c>
      <c r="AS25">
        <v>4.5999999999999996</v>
      </c>
      <c r="AT25">
        <v>96</v>
      </c>
      <c r="AU25">
        <v>92</v>
      </c>
      <c r="AV25">
        <v>38.299999999999997</v>
      </c>
      <c r="AW25">
        <v>2.7</v>
      </c>
      <c r="AX25">
        <v>9.6</v>
      </c>
      <c r="AY25">
        <v>3.8</v>
      </c>
      <c r="AZ25">
        <v>14.3</v>
      </c>
      <c r="BA25">
        <v>257</v>
      </c>
      <c r="BB25">
        <v>17</v>
      </c>
      <c r="BC25">
        <v>69</v>
      </c>
      <c r="BD25">
        <v>126</v>
      </c>
      <c r="BE25">
        <v>31.5</v>
      </c>
      <c r="BF25" t="s">
        <v>86</v>
      </c>
      <c r="BG25">
        <v>54</v>
      </c>
      <c r="BH25">
        <v>38.700000000000003</v>
      </c>
      <c r="BI25">
        <v>-13.1</v>
      </c>
      <c r="BJ25" t="s">
        <v>115</v>
      </c>
      <c r="BK25">
        <v>398</v>
      </c>
      <c r="BL25">
        <v>46</v>
      </c>
      <c r="BM25">
        <v>1.1100000000000001</v>
      </c>
      <c r="BN25" t="s">
        <v>96</v>
      </c>
      <c r="BO25" t="s">
        <v>92</v>
      </c>
      <c r="BP25" t="s">
        <v>93</v>
      </c>
      <c r="BQ25" t="s">
        <v>94</v>
      </c>
      <c r="BR25">
        <v>1102</v>
      </c>
      <c r="BS25">
        <v>30.8</v>
      </c>
      <c r="BT25" t="s">
        <v>95</v>
      </c>
      <c r="BU25" t="s">
        <v>87</v>
      </c>
      <c r="BV25" t="s">
        <v>87</v>
      </c>
      <c r="BW25" t="s">
        <v>87</v>
      </c>
      <c r="BX25" t="s">
        <v>96</v>
      </c>
      <c r="BY25" t="s">
        <v>86</v>
      </c>
      <c r="BZ25" t="s">
        <v>86</v>
      </c>
      <c r="CA25">
        <v>16</v>
      </c>
      <c r="CB25" t="s">
        <v>104</v>
      </c>
      <c r="CC25" t="s">
        <v>87</v>
      </c>
    </row>
    <row r="26" spans="1:81">
      <c r="A26" t="s">
        <v>176</v>
      </c>
      <c r="B26" t="s">
        <v>177</v>
      </c>
      <c r="C26" t="s">
        <v>345</v>
      </c>
      <c r="D26" t="s">
        <v>83</v>
      </c>
      <c r="E26">
        <v>28</v>
      </c>
      <c r="F26" t="s">
        <v>167</v>
      </c>
      <c r="G26">
        <v>112.1</v>
      </c>
      <c r="H26">
        <v>176</v>
      </c>
      <c r="I26">
        <v>36.200000000000003</v>
      </c>
      <c r="J26">
        <v>108.3</v>
      </c>
      <c r="K26" t="s">
        <v>123</v>
      </c>
      <c r="L26" t="s">
        <v>87</v>
      </c>
      <c r="M26" t="s">
        <v>87</v>
      </c>
      <c r="N26" t="s">
        <v>86</v>
      </c>
      <c r="O26" t="s">
        <v>87</v>
      </c>
      <c r="P26" t="s">
        <v>157</v>
      </c>
      <c r="Q26">
        <v>14</v>
      </c>
      <c r="R26" t="s">
        <v>86</v>
      </c>
      <c r="S26" t="s">
        <v>87</v>
      </c>
      <c r="T26" t="s">
        <v>102</v>
      </c>
      <c r="U26">
        <v>155</v>
      </c>
      <c r="V26">
        <v>97</v>
      </c>
      <c r="W26">
        <v>116.3</v>
      </c>
      <c r="X26">
        <v>134</v>
      </c>
      <c r="Y26">
        <v>95</v>
      </c>
      <c r="Z26">
        <v>2821</v>
      </c>
      <c r="AA26">
        <v>3815</v>
      </c>
      <c r="AB26">
        <v>994</v>
      </c>
      <c r="AC26">
        <v>24430</v>
      </c>
      <c r="AD26">
        <v>16.7</v>
      </c>
      <c r="AE26">
        <v>4133</v>
      </c>
      <c r="AF26">
        <v>127.2</v>
      </c>
      <c r="AG26">
        <v>77</v>
      </c>
      <c r="AH26">
        <v>936</v>
      </c>
      <c r="AI26">
        <v>31.9</v>
      </c>
      <c r="AJ26">
        <v>5.3</v>
      </c>
      <c r="AK26">
        <v>6.2</v>
      </c>
      <c r="AL26">
        <v>128</v>
      </c>
      <c r="AM26">
        <v>37.1</v>
      </c>
      <c r="AN26">
        <v>191</v>
      </c>
      <c r="AO26">
        <v>141</v>
      </c>
      <c r="AP26">
        <v>86</v>
      </c>
      <c r="AQ26">
        <v>6.4</v>
      </c>
      <c r="AR26">
        <v>138</v>
      </c>
      <c r="AS26">
        <v>5</v>
      </c>
      <c r="AT26">
        <v>37</v>
      </c>
      <c r="AU26">
        <v>52</v>
      </c>
      <c r="AV26">
        <v>32.1</v>
      </c>
      <c r="AW26">
        <v>1.4</v>
      </c>
      <c r="AX26">
        <v>12.1</v>
      </c>
      <c r="AY26">
        <v>6.6</v>
      </c>
      <c r="AZ26">
        <v>14.2</v>
      </c>
      <c r="BA26">
        <v>225</v>
      </c>
      <c r="BB26">
        <v>16</v>
      </c>
      <c r="BC26">
        <v>65</v>
      </c>
      <c r="BD26">
        <v>158</v>
      </c>
      <c r="BE26">
        <v>24.6</v>
      </c>
      <c r="BF26" t="s">
        <v>86</v>
      </c>
      <c r="BG26">
        <v>41</v>
      </c>
      <c r="BH26">
        <v>40.9</v>
      </c>
      <c r="BI26">
        <v>-13.7</v>
      </c>
      <c r="BJ26" t="s">
        <v>125</v>
      </c>
      <c r="BK26">
        <v>452</v>
      </c>
      <c r="BL26">
        <v>29</v>
      </c>
      <c r="BM26">
        <v>1.04</v>
      </c>
      <c r="BN26" t="s">
        <v>96</v>
      </c>
      <c r="BO26" t="s">
        <v>109</v>
      </c>
      <c r="BP26" t="s">
        <v>93</v>
      </c>
      <c r="BQ26" t="s">
        <v>94</v>
      </c>
      <c r="BR26">
        <v>1122</v>
      </c>
      <c r="BS26">
        <v>41.9</v>
      </c>
      <c r="BT26" t="s">
        <v>131</v>
      </c>
      <c r="BU26" t="s">
        <v>87</v>
      </c>
      <c r="BV26" t="s">
        <v>87</v>
      </c>
      <c r="BW26" t="s">
        <v>86</v>
      </c>
      <c r="BX26" t="s">
        <v>96</v>
      </c>
      <c r="BY26" t="s">
        <v>86</v>
      </c>
      <c r="BZ26" t="s">
        <v>86</v>
      </c>
      <c r="CA26">
        <v>10</v>
      </c>
      <c r="CB26" t="s">
        <v>104</v>
      </c>
      <c r="CC26" t="s">
        <v>87</v>
      </c>
    </row>
    <row r="27" spans="1:81">
      <c r="A27" t="s">
        <v>178</v>
      </c>
      <c r="B27" t="s">
        <v>179</v>
      </c>
      <c r="C27" t="s">
        <v>345</v>
      </c>
      <c r="D27" t="s">
        <v>83</v>
      </c>
      <c r="E27">
        <v>63</v>
      </c>
      <c r="F27" t="s">
        <v>167</v>
      </c>
      <c r="G27">
        <v>126.7</v>
      </c>
      <c r="H27">
        <v>176</v>
      </c>
      <c r="I27">
        <v>40.9</v>
      </c>
      <c r="J27">
        <v>126.3</v>
      </c>
      <c r="K27" t="s">
        <v>85</v>
      </c>
      <c r="L27" t="s">
        <v>86</v>
      </c>
      <c r="M27" t="s">
        <v>87</v>
      </c>
      <c r="N27" t="s">
        <v>87</v>
      </c>
      <c r="O27" t="s">
        <v>86</v>
      </c>
      <c r="P27" t="s">
        <v>88</v>
      </c>
      <c r="Q27">
        <v>27</v>
      </c>
      <c r="R27" t="s">
        <v>86</v>
      </c>
      <c r="S27" t="s">
        <v>86</v>
      </c>
      <c r="T27" t="s">
        <v>124</v>
      </c>
      <c r="U27">
        <v>172</v>
      </c>
      <c r="V27">
        <v>61</v>
      </c>
      <c r="W27">
        <v>98</v>
      </c>
      <c r="X27">
        <v>68</v>
      </c>
      <c r="Y27">
        <v>92</v>
      </c>
      <c r="Z27">
        <v>1098</v>
      </c>
      <c r="AA27">
        <v>1350</v>
      </c>
      <c r="AB27">
        <v>252</v>
      </c>
      <c r="AC27">
        <v>5678</v>
      </c>
      <c r="AD27">
        <v>23.1</v>
      </c>
      <c r="AE27">
        <v>9278</v>
      </c>
      <c r="AF27">
        <v>73.7</v>
      </c>
      <c r="AG27">
        <v>77</v>
      </c>
      <c r="AH27">
        <v>1375</v>
      </c>
      <c r="AI27">
        <v>22.5</v>
      </c>
      <c r="AJ27">
        <v>6.8</v>
      </c>
      <c r="AK27">
        <v>9</v>
      </c>
      <c r="AL27">
        <v>222</v>
      </c>
      <c r="AM27">
        <v>34.5</v>
      </c>
      <c r="AN27">
        <v>294</v>
      </c>
      <c r="AO27">
        <v>74</v>
      </c>
      <c r="AP27">
        <v>102</v>
      </c>
      <c r="AQ27">
        <v>5.9</v>
      </c>
      <c r="AR27">
        <v>140.5</v>
      </c>
      <c r="AS27">
        <v>4.7</v>
      </c>
      <c r="AT27">
        <v>81</v>
      </c>
      <c r="AU27">
        <v>99</v>
      </c>
      <c r="AV27">
        <v>31.7</v>
      </c>
      <c r="AW27">
        <v>2.4</v>
      </c>
      <c r="AX27">
        <v>8</v>
      </c>
      <c r="AY27">
        <v>6.8</v>
      </c>
      <c r="AZ27">
        <v>13.8</v>
      </c>
      <c r="BA27">
        <v>137</v>
      </c>
      <c r="BB27">
        <v>32</v>
      </c>
      <c r="BC27">
        <v>62</v>
      </c>
      <c r="BD27">
        <v>195</v>
      </c>
      <c r="BE27">
        <v>20.100000000000001</v>
      </c>
      <c r="BF27" t="s">
        <v>86</v>
      </c>
      <c r="BG27">
        <v>42</v>
      </c>
      <c r="BH27">
        <v>61.7</v>
      </c>
      <c r="BI27">
        <v>-7.7</v>
      </c>
      <c r="BJ27" t="s">
        <v>125</v>
      </c>
      <c r="BK27">
        <v>272</v>
      </c>
      <c r="BL27">
        <v>49</v>
      </c>
      <c r="BM27">
        <v>0.89</v>
      </c>
      <c r="BN27" t="s">
        <v>91</v>
      </c>
      <c r="BO27" t="s">
        <v>92</v>
      </c>
      <c r="BP27" t="s">
        <v>93</v>
      </c>
      <c r="BQ27" t="s">
        <v>103</v>
      </c>
      <c r="BR27">
        <v>969</v>
      </c>
      <c r="BS27">
        <v>33.5</v>
      </c>
      <c r="BT27" t="s">
        <v>131</v>
      </c>
      <c r="BU27" t="s">
        <v>86</v>
      </c>
      <c r="BV27" t="s">
        <v>86</v>
      </c>
      <c r="BW27" t="s">
        <v>86</v>
      </c>
      <c r="BX27" t="s">
        <v>96</v>
      </c>
      <c r="BY27" t="s">
        <v>86</v>
      </c>
      <c r="BZ27" t="s">
        <v>86</v>
      </c>
      <c r="CA27">
        <v>9</v>
      </c>
      <c r="CB27" t="s">
        <v>97</v>
      </c>
      <c r="CC27" t="s">
        <v>86</v>
      </c>
    </row>
    <row r="28" spans="1:81">
      <c r="A28" t="s">
        <v>180</v>
      </c>
      <c r="B28" t="s">
        <v>181</v>
      </c>
      <c r="C28" t="s">
        <v>345</v>
      </c>
      <c r="D28" t="s">
        <v>83</v>
      </c>
      <c r="E28">
        <v>41</v>
      </c>
      <c r="F28" t="s">
        <v>107</v>
      </c>
      <c r="G28">
        <v>74.3</v>
      </c>
      <c r="H28">
        <v>165</v>
      </c>
      <c r="I28">
        <v>27.3</v>
      </c>
      <c r="J28">
        <v>95.1</v>
      </c>
      <c r="K28" t="s">
        <v>114</v>
      </c>
      <c r="L28" t="s">
        <v>87</v>
      </c>
      <c r="M28" t="s">
        <v>86</v>
      </c>
      <c r="N28" t="s">
        <v>86</v>
      </c>
      <c r="O28" t="s">
        <v>87</v>
      </c>
      <c r="P28" t="s">
        <v>101</v>
      </c>
      <c r="Q28">
        <v>2</v>
      </c>
      <c r="R28" t="s">
        <v>86</v>
      </c>
      <c r="S28" t="s">
        <v>87</v>
      </c>
      <c r="T28" t="s">
        <v>102</v>
      </c>
      <c r="U28">
        <v>86</v>
      </c>
      <c r="V28">
        <v>109</v>
      </c>
      <c r="W28">
        <v>101.3</v>
      </c>
      <c r="X28">
        <v>95</v>
      </c>
      <c r="Y28">
        <v>90</v>
      </c>
      <c r="Z28">
        <v>642</v>
      </c>
      <c r="AA28">
        <v>1005</v>
      </c>
      <c r="AB28">
        <v>363</v>
      </c>
      <c r="AC28">
        <v>6558</v>
      </c>
      <c r="AD28">
        <v>14.6</v>
      </c>
      <c r="AE28">
        <v>1888</v>
      </c>
      <c r="AF28">
        <v>91.6</v>
      </c>
      <c r="AG28">
        <v>49</v>
      </c>
      <c r="AH28">
        <v>724</v>
      </c>
      <c r="AI28">
        <v>11.3</v>
      </c>
      <c r="AJ28">
        <v>5.4</v>
      </c>
      <c r="AK28">
        <v>6.1</v>
      </c>
      <c r="AL28">
        <v>149</v>
      </c>
      <c r="AM28">
        <v>41.7</v>
      </c>
      <c r="AN28">
        <v>242</v>
      </c>
      <c r="AO28">
        <v>108</v>
      </c>
      <c r="AP28">
        <v>85</v>
      </c>
      <c r="AQ28">
        <v>9.3000000000000007</v>
      </c>
      <c r="AR28">
        <v>141</v>
      </c>
      <c r="AS28">
        <v>4.0999999999999996</v>
      </c>
      <c r="AT28">
        <v>46</v>
      </c>
      <c r="AU28">
        <v>80</v>
      </c>
      <c r="AV28">
        <v>38.4</v>
      </c>
      <c r="AW28">
        <v>2.2999999999999998</v>
      </c>
      <c r="AX28">
        <v>15.6</v>
      </c>
      <c r="AY28">
        <v>5.8</v>
      </c>
      <c r="AZ28">
        <v>13.5</v>
      </c>
      <c r="BA28">
        <v>318</v>
      </c>
      <c r="BB28">
        <v>37</v>
      </c>
      <c r="BC28">
        <v>44</v>
      </c>
      <c r="BD28">
        <v>120</v>
      </c>
      <c r="BE28">
        <v>11.2</v>
      </c>
      <c r="BF28" t="s">
        <v>86</v>
      </c>
      <c r="BG28">
        <v>37</v>
      </c>
      <c r="BH28">
        <v>54.1</v>
      </c>
      <c r="BI28">
        <v>-13.2</v>
      </c>
      <c r="BJ28" t="s">
        <v>115</v>
      </c>
      <c r="BK28">
        <v>216</v>
      </c>
      <c r="BL28">
        <v>47</v>
      </c>
      <c r="BM28">
        <v>0.98</v>
      </c>
      <c r="BN28" t="s">
        <v>96</v>
      </c>
      <c r="BO28" t="s">
        <v>92</v>
      </c>
      <c r="BP28" t="s">
        <v>93</v>
      </c>
      <c r="BQ28" t="s">
        <v>94</v>
      </c>
      <c r="BR28">
        <v>1164</v>
      </c>
      <c r="BS28">
        <v>33.4</v>
      </c>
      <c r="BT28" t="s">
        <v>110</v>
      </c>
      <c r="BU28" t="s">
        <v>86</v>
      </c>
      <c r="BV28" t="s">
        <v>86</v>
      </c>
      <c r="BW28" t="s">
        <v>86</v>
      </c>
      <c r="BX28" t="s">
        <v>96</v>
      </c>
      <c r="BY28" t="s">
        <v>86</v>
      </c>
      <c r="BZ28" t="s">
        <v>86</v>
      </c>
      <c r="CA28">
        <v>14</v>
      </c>
      <c r="CB28" t="s">
        <v>97</v>
      </c>
      <c r="CC28" t="s">
        <v>86</v>
      </c>
    </row>
    <row r="29" spans="1:81">
      <c r="A29" t="s">
        <v>182</v>
      </c>
      <c r="B29" t="s">
        <v>183</v>
      </c>
      <c r="C29" t="s">
        <v>345</v>
      </c>
      <c r="D29" t="s">
        <v>83</v>
      </c>
      <c r="E29">
        <v>68</v>
      </c>
      <c r="F29" t="s">
        <v>128</v>
      </c>
      <c r="G29">
        <v>125.9</v>
      </c>
      <c r="H29">
        <v>179</v>
      </c>
      <c r="I29">
        <v>39.299999999999997</v>
      </c>
      <c r="J29">
        <v>115.9</v>
      </c>
      <c r="K29" t="s">
        <v>123</v>
      </c>
      <c r="L29" t="s">
        <v>86</v>
      </c>
      <c r="M29" t="s">
        <v>87</v>
      </c>
      <c r="N29" t="s">
        <v>87</v>
      </c>
      <c r="O29" t="s">
        <v>87</v>
      </c>
      <c r="P29" t="s">
        <v>101</v>
      </c>
      <c r="Q29">
        <v>15</v>
      </c>
      <c r="R29" t="s">
        <v>87</v>
      </c>
      <c r="S29" t="s">
        <v>87</v>
      </c>
      <c r="T29" t="s">
        <v>89</v>
      </c>
      <c r="U29">
        <v>137</v>
      </c>
      <c r="V29">
        <v>81</v>
      </c>
      <c r="W29">
        <v>99.7</v>
      </c>
      <c r="X29">
        <v>120</v>
      </c>
      <c r="Y29">
        <v>90</v>
      </c>
      <c r="Z29">
        <v>1736</v>
      </c>
      <c r="AA29">
        <v>1772</v>
      </c>
      <c r="AB29">
        <v>36</v>
      </c>
      <c r="AC29">
        <v>9318</v>
      </c>
      <c r="AD29">
        <v>27.3</v>
      </c>
      <c r="AE29">
        <v>8917</v>
      </c>
      <c r="AF29">
        <v>30.4</v>
      </c>
      <c r="AG29">
        <v>56</v>
      </c>
      <c r="AH29">
        <v>1949</v>
      </c>
      <c r="AI29">
        <v>23.9</v>
      </c>
      <c r="AJ29">
        <v>8.6999999999999993</v>
      </c>
      <c r="AK29">
        <v>7.2</v>
      </c>
      <c r="AL29">
        <v>90</v>
      </c>
      <c r="AM29">
        <v>32.1</v>
      </c>
      <c r="AN29">
        <v>306</v>
      </c>
      <c r="AO29">
        <v>142</v>
      </c>
      <c r="AP29">
        <v>64</v>
      </c>
      <c r="AQ29">
        <v>7.6</v>
      </c>
      <c r="AR29">
        <v>139.19999999999999</v>
      </c>
      <c r="AS29">
        <v>3.7</v>
      </c>
      <c r="AT29">
        <v>96</v>
      </c>
      <c r="AU29">
        <v>33</v>
      </c>
      <c r="AV29">
        <v>39.700000000000003</v>
      </c>
      <c r="AW29">
        <v>1.9</v>
      </c>
      <c r="AX29">
        <v>15</v>
      </c>
      <c r="AY29">
        <v>5.7</v>
      </c>
      <c r="AZ29">
        <v>13.8</v>
      </c>
      <c r="BA29">
        <v>352</v>
      </c>
      <c r="BB29">
        <v>11</v>
      </c>
      <c r="BC29">
        <v>70</v>
      </c>
      <c r="BD29">
        <v>184</v>
      </c>
      <c r="BE29">
        <v>19.600000000000001</v>
      </c>
      <c r="BF29" t="s">
        <v>86</v>
      </c>
      <c r="BG29">
        <v>38</v>
      </c>
      <c r="BH29">
        <v>48.7</v>
      </c>
      <c r="BI29">
        <v>-14.5</v>
      </c>
      <c r="BJ29" t="s">
        <v>118</v>
      </c>
      <c r="BK29">
        <v>62</v>
      </c>
      <c r="BL29">
        <v>24</v>
      </c>
      <c r="BM29">
        <v>0.78</v>
      </c>
      <c r="BN29" t="s">
        <v>119</v>
      </c>
      <c r="BO29" t="s">
        <v>109</v>
      </c>
      <c r="BP29" t="s">
        <v>93</v>
      </c>
      <c r="BQ29" t="s">
        <v>94</v>
      </c>
      <c r="BR29">
        <v>1070</v>
      </c>
      <c r="BS29">
        <v>31.1</v>
      </c>
      <c r="BT29" t="s">
        <v>153</v>
      </c>
      <c r="BU29" t="s">
        <v>87</v>
      </c>
      <c r="BV29" t="s">
        <v>86</v>
      </c>
      <c r="BW29" t="s">
        <v>87</v>
      </c>
      <c r="BX29" t="s">
        <v>96</v>
      </c>
      <c r="BY29" t="s">
        <v>87</v>
      </c>
      <c r="BZ29" t="s">
        <v>87</v>
      </c>
      <c r="CA29">
        <v>18</v>
      </c>
      <c r="CB29" t="s">
        <v>104</v>
      </c>
      <c r="CC29" t="s">
        <v>87</v>
      </c>
    </row>
    <row r="30" spans="1:81">
      <c r="A30" t="s">
        <v>184</v>
      </c>
      <c r="B30" t="s">
        <v>185</v>
      </c>
      <c r="C30" t="s">
        <v>345</v>
      </c>
      <c r="D30" t="s">
        <v>83</v>
      </c>
      <c r="E30">
        <v>60</v>
      </c>
      <c r="F30" t="s">
        <v>84</v>
      </c>
      <c r="G30">
        <v>99.7</v>
      </c>
      <c r="H30">
        <v>170</v>
      </c>
      <c r="I30">
        <v>34.5</v>
      </c>
      <c r="J30">
        <v>109.2</v>
      </c>
      <c r="K30" t="s">
        <v>100</v>
      </c>
      <c r="L30" t="s">
        <v>87</v>
      </c>
      <c r="M30" t="s">
        <v>87</v>
      </c>
      <c r="N30" t="s">
        <v>87</v>
      </c>
      <c r="O30" t="s">
        <v>87</v>
      </c>
      <c r="P30" t="s">
        <v>134</v>
      </c>
      <c r="Q30">
        <v>0</v>
      </c>
      <c r="R30" t="s">
        <v>86</v>
      </c>
      <c r="S30" t="s">
        <v>86</v>
      </c>
      <c r="T30" t="s">
        <v>89</v>
      </c>
      <c r="U30">
        <v>125</v>
      </c>
      <c r="V30">
        <v>70</v>
      </c>
      <c r="W30">
        <v>88.3</v>
      </c>
      <c r="X30">
        <v>126</v>
      </c>
      <c r="Y30">
        <v>93</v>
      </c>
      <c r="Z30">
        <v>3660</v>
      </c>
      <c r="AA30">
        <v>6063</v>
      </c>
      <c r="AB30">
        <v>2403</v>
      </c>
      <c r="AC30">
        <v>5248</v>
      </c>
      <c r="AD30">
        <v>20.7</v>
      </c>
      <c r="AE30">
        <v>6606</v>
      </c>
      <c r="AF30">
        <v>27.6</v>
      </c>
      <c r="AG30">
        <v>56</v>
      </c>
      <c r="AH30">
        <v>243</v>
      </c>
      <c r="AI30">
        <v>17.5</v>
      </c>
      <c r="AJ30">
        <v>9.8000000000000007</v>
      </c>
      <c r="AK30">
        <v>7.8</v>
      </c>
      <c r="AL30">
        <v>137</v>
      </c>
      <c r="AM30">
        <v>46.3</v>
      </c>
      <c r="AN30">
        <v>220</v>
      </c>
      <c r="AO30">
        <v>221</v>
      </c>
      <c r="AP30">
        <v>18</v>
      </c>
      <c r="AQ30">
        <v>7.3</v>
      </c>
      <c r="AR30">
        <v>132.80000000000001</v>
      </c>
      <c r="AS30">
        <v>4.3</v>
      </c>
      <c r="AT30">
        <v>68</v>
      </c>
      <c r="AU30">
        <v>34</v>
      </c>
      <c r="AV30">
        <v>37.1</v>
      </c>
      <c r="AW30">
        <v>3.6</v>
      </c>
      <c r="AX30">
        <v>18.100000000000001</v>
      </c>
      <c r="AY30">
        <v>5.9</v>
      </c>
      <c r="AZ30">
        <v>11.5</v>
      </c>
      <c r="BA30">
        <v>401</v>
      </c>
      <c r="BB30">
        <v>30</v>
      </c>
      <c r="BC30">
        <v>67</v>
      </c>
      <c r="BD30">
        <v>108</v>
      </c>
      <c r="BE30">
        <v>14.2</v>
      </c>
      <c r="BF30" t="s">
        <v>86</v>
      </c>
      <c r="BG30">
        <v>44</v>
      </c>
      <c r="BH30">
        <v>60.3</v>
      </c>
      <c r="BI30">
        <v>-9.1</v>
      </c>
      <c r="BJ30" t="s">
        <v>118</v>
      </c>
      <c r="BK30">
        <v>279</v>
      </c>
      <c r="BL30">
        <v>61</v>
      </c>
      <c r="BM30">
        <v>0.65</v>
      </c>
      <c r="BN30" t="s">
        <v>91</v>
      </c>
      <c r="BO30" t="s">
        <v>109</v>
      </c>
      <c r="BP30" t="s">
        <v>93</v>
      </c>
      <c r="BQ30" t="s">
        <v>94</v>
      </c>
      <c r="BR30">
        <v>1136</v>
      </c>
      <c r="BS30">
        <v>37.4</v>
      </c>
      <c r="BT30" t="s">
        <v>153</v>
      </c>
      <c r="BU30" t="s">
        <v>87</v>
      </c>
      <c r="BV30" t="s">
        <v>86</v>
      </c>
      <c r="BW30" t="s">
        <v>86</v>
      </c>
      <c r="BX30" t="s">
        <v>96</v>
      </c>
      <c r="BY30" t="s">
        <v>87</v>
      </c>
      <c r="BZ30" t="s">
        <v>87</v>
      </c>
      <c r="CA30">
        <v>8</v>
      </c>
      <c r="CB30" t="s">
        <v>120</v>
      </c>
      <c r="CC30" t="s">
        <v>87</v>
      </c>
    </row>
    <row r="31" spans="1:81">
      <c r="A31" t="s">
        <v>186</v>
      </c>
      <c r="B31" t="s">
        <v>187</v>
      </c>
      <c r="C31" t="s">
        <v>345</v>
      </c>
      <c r="D31" t="s">
        <v>83</v>
      </c>
      <c r="E31">
        <v>47</v>
      </c>
      <c r="F31" t="s">
        <v>113</v>
      </c>
      <c r="G31">
        <v>122.2</v>
      </c>
      <c r="H31">
        <v>168</v>
      </c>
      <c r="I31">
        <v>43.3</v>
      </c>
      <c r="J31">
        <v>122.6</v>
      </c>
      <c r="K31" t="s">
        <v>85</v>
      </c>
      <c r="L31" t="s">
        <v>87</v>
      </c>
      <c r="M31" t="s">
        <v>87</v>
      </c>
      <c r="N31" t="s">
        <v>86</v>
      </c>
      <c r="O31" t="s">
        <v>87</v>
      </c>
      <c r="P31" t="s">
        <v>108</v>
      </c>
      <c r="Q31">
        <v>2</v>
      </c>
      <c r="R31" t="s">
        <v>86</v>
      </c>
      <c r="S31" t="s">
        <v>86</v>
      </c>
      <c r="T31" t="s">
        <v>102</v>
      </c>
      <c r="U31">
        <v>74</v>
      </c>
      <c r="V31">
        <v>117</v>
      </c>
      <c r="W31">
        <v>102.7</v>
      </c>
      <c r="X31">
        <v>127</v>
      </c>
      <c r="Y31">
        <v>94</v>
      </c>
      <c r="Z31">
        <v>683</v>
      </c>
      <c r="AA31">
        <v>779</v>
      </c>
      <c r="AB31">
        <v>96</v>
      </c>
      <c r="AC31">
        <v>8301</v>
      </c>
      <c r="AD31">
        <v>21.2</v>
      </c>
      <c r="AE31">
        <v>6830</v>
      </c>
      <c r="AF31">
        <v>118.1</v>
      </c>
      <c r="AG31">
        <v>68</v>
      </c>
      <c r="AH31">
        <v>1608</v>
      </c>
      <c r="AI31">
        <v>33.700000000000003</v>
      </c>
      <c r="AJ31">
        <v>6.1</v>
      </c>
      <c r="AK31">
        <v>5.7</v>
      </c>
      <c r="AL31">
        <v>130</v>
      </c>
      <c r="AM31">
        <v>44.3</v>
      </c>
      <c r="AN31">
        <v>346</v>
      </c>
      <c r="AO31">
        <v>160</v>
      </c>
      <c r="AP31">
        <v>56</v>
      </c>
      <c r="AQ31">
        <v>5.6</v>
      </c>
      <c r="AR31">
        <v>140</v>
      </c>
      <c r="AS31">
        <v>4.0999999999999996</v>
      </c>
      <c r="AT31">
        <v>76</v>
      </c>
      <c r="AU31">
        <v>34</v>
      </c>
      <c r="AV31">
        <v>30.1</v>
      </c>
      <c r="AW31">
        <v>2</v>
      </c>
      <c r="AX31">
        <v>4</v>
      </c>
      <c r="AY31">
        <v>5.0999999999999996</v>
      </c>
      <c r="AZ31">
        <v>13.4</v>
      </c>
      <c r="BA31">
        <v>169</v>
      </c>
      <c r="BB31">
        <v>23</v>
      </c>
      <c r="BC31">
        <v>61</v>
      </c>
      <c r="BD31">
        <v>209</v>
      </c>
      <c r="BE31">
        <v>14.9</v>
      </c>
      <c r="BF31" t="s">
        <v>86</v>
      </c>
      <c r="BG31">
        <v>40</v>
      </c>
      <c r="BH31">
        <v>48</v>
      </c>
      <c r="BI31">
        <v>-9.1999999999999993</v>
      </c>
      <c r="BJ31" t="s">
        <v>115</v>
      </c>
      <c r="BK31">
        <v>498</v>
      </c>
      <c r="BL31">
        <v>23</v>
      </c>
      <c r="BM31">
        <v>0.73</v>
      </c>
      <c r="BN31" t="s">
        <v>135</v>
      </c>
      <c r="BO31" t="s">
        <v>92</v>
      </c>
      <c r="BP31" t="s">
        <v>93</v>
      </c>
      <c r="BQ31" t="s">
        <v>94</v>
      </c>
      <c r="BR31">
        <v>1121</v>
      </c>
      <c r="BS31">
        <v>29.1</v>
      </c>
      <c r="BT31" t="s">
        <v>95</v>
      </c>
      <c r="BU31" t="s">
        <v>87</v>
      </c>
      <c r="BV31" t="s">
        <v>86</v>
      </c>
      <c r="BW31" t="s">
        <v>87</v>
      </c>
      <c r="BX31" t="s">
        <v>96</v>
      </c>
      <c r="BY31" t="s">
        <v>86</v>
      </c>
      <c r="BZ31" t="s">
        <v>86</v>
      </c>
      <c r="CA31">
        <v>15</v>
      </c>
      <c r="CB31" t="s">
        <v>104</v>
      </c>
      <c r="CC31" t="s">
        <v>87</v>
      </c>
    </row>
    <row r="32" spans="1:81">
      <c r="A32" t="s">
        <v>188</v>
      </c>
      <c r="B32" t="s">
        <v>189</v>
      </c>
      <c r="C32" t="s">
        <v>345</v>
      </c>
      <c r="D32" t="s">
        <v>83</v>
      </c>
      <c r="E32">
        <v>28</v>
      </c>
      <c r="F32" t="s">
        <v>107</v>
      </c>
      <c r="G32">
        <v>94.1</v>
      </c>
      <c r="H32">
        <v>184</v>
      </c>
      <c r="I32">
        <v>27.8</v>
      </c>
      <c r="J32">
        <v>90.1</v>
      </c>
      <c r="K32" t="s">
        <v>114</v>
      </c>
      <c r="L32" t="s">
        <v>87</v>
      </c>
      <c r="M32" t="s">
        <v>87</v>
      </c>
      <c r="N32" t="s">
        <v>86</v>
      </c>
      <c r="O32" t="s">
        <v>86</v>
      </c>
      <c r="P32" t="s">
        <v>101</v>
      </c>
      <c r="Q32">
        <v>16</v>
      </c>
      <c r="R32" t="s">
        <v>86</v>
      </c>
      <c r="S32" t="s">
        <v>87</v>
      </c>
      <c r="T32" t="s">
        <v>102</v>
      </c>
      <c r="U32">
        <v>146</v>
      </c>
      <c r="V32">
        <v>84</v>
      </c>
      <c r="W32">
        <v>104.7</v>
      </c>
      <c r="X32">
        <v>110</v>
      </c>
      <c r="Y32">
        <v>99</v>
      </c>
      <c r="Z32">
        <v>3876</v>
      </c>
      <c r="AA32">
        <v>6669</v>
      </c>
      <c r="AB32">
        <v>2793</v>
      </c>
      <c r="AC32">
        <v>8303</v>
      </c>
      <c r="AD32">
        <v>25.8</v>
      </c>
      <c r="AE32">
        <v>1387</v>
      </c>
      <c r="AF32">
        <v>17.7</v>
      </c>
      <c r="AG32">
        <v>50</v>
      </c>
      <c r="AH32">
        <v>345</v>
      </c>
      <c r="AI32">
        <v>10.6</v>
      </c>
      <c r="AJ32">
        <v>5.5</v>
      </c>
      <c r="AK32">
        <v>5.6</v>
      </c>
      <c r="AL32">
        <v>118</v>
      </c>
      <c r="AM32">
        <v>41.6</v>
      </c>
      <c r="AN32">
        <v>98</v>
      </c>
      <c r="AO32">
        <v>173</v>
      </c>
      <c r="AP32">
        <v>57</v>
      </c>
      <c r="AQ32">
        <v>9.1999999999999993</v>
      </c>
      <c r="AR32">
        <v>134.9</v>
      </c>
      <c r="AS32">
        <v>4.4000000000000004</v>
      </c>
      <c r="AT32">
        <v>77</v>
      </c>
      <c r="AU32">
        <v>100</v>
      </c>
      <c r="AV32">
        <v>39.5</v>
      </c>
      <c r="AW32">
        <v>2.2000000000000002</v>
      </c>
      <c r="AX32">
        <v>8.3000000000000007</v>
      </c>
      <c r="AY32">
        <v>5.6</v>
      </c>
      <c r="AZ32">
        <v>16.8</v>
      </c>
      <c r="BA32">
        <v>242</v>
      </c>
      <c r="BB32">
        <v>33</v>
      </c>
      <c r="BC32">
        <v>71</v>
      </c>
      <c r="BD32">
        <v>153</v>
      </c>
      <c r="BE32">
        <v>10.7</v>
      </c>
      <c r="BF32" t="s">
        <v>86</v>
      </c>
      <c r="BG32">
        <v>46</v>
      </c>
      <c r="BH32">
        <v>44.1</v>
      </c>
      <c r="BI32">
        <v>-11.2</v>
      </c>
      <c r="BJ32" t="s">
        <v>125</v>
      </c>
      <c r="BK32">
        <v>324</v>
      </c>
      <c r="BL32">
        <v>33</v>
      </c>
      <c r="BM32">
        <v>1.03</v>
      </c>
      <c r="BN32" t="s">
        <v>119</v>
      </c>
      <c r="BO32" t="s">
        <v>92</v>
      </c>
      <c r="BP32" t="s">
        <v>93</v>
      </c>
      <c r="BQ32" t="s">
        <v>94</v>
      </c>
      <c r="BR32">
        <v>1078</v>
      </c>
      <c r="BS32">
        <v>38.299999999999997</v>
      </c>
      <c r="BT32" t="s">
        <v>153</v>
      </c>
      <c r="BU32" t="s">
        <v>86</v>
      </c>
      <c r="BV32" t="s">
        <v>86</v>
      </c>
      <c r="BW32" t="s">
        <v>86</v>
      </c>
      <c r="BX32" t="s">
        <v>96</v>
      </c>
      <c r="BY32" t="s">
        <v>86</v>
      </c>
      <c r="BZ32" t="s">
        <v>86</v>
      </c>
      <c r="CA32">
        <v>5</v>
      </c>
      <c r="CB32" t="s">
        <v>97</v>
      </c>
      <c r="CC32" t="s">
        <v>86</v>
      </c>
    </row>
    <row r="33" spans="1:81">
      <c r="A33" t="s">
        <v>190</v>
      </c>
      <c r="B33" t="s">
        <v>191</v>
      </c>
      <c r="C33" t="s">
        <v>345</v>
      </c>
      <c r="D33" t="s">
        <v>83</v>
      </c>
      <c r="E33">
        <v>41</v>
      </c>
      <c r="F33" t="s">
        <v>84</v>
      </c>
      <c r="G33">
        <v>94.5</v>
      </c>
      <c r="H33">
        <v>174</v>
      </c>
      <c r="I33">
        <v>31.2</v>
      </c>
      <c r="J33">
        <v>102.9</v>
      </c>
      <c r="K33" t="s">
        <v>100</v>
      </c>
      <c r="L33" t="s">
        <v>87</v>
      </c>
      <c r="M33" t="s">
        <v>86</v>
      </c>
      <c r="N33" t="s">
        <v>86</v>
      </c>
      <c r="O33" t="s">
        <v>86</v>
      </c>
      <c r="P33" t="s">
        <v>108</v>
      </c>
      <c r="Q33">
        <v>3</v>
      </c>
      <c r="R33" t="s">
        <v>86</v>
      </c>
      <c r="S33" t="s">
        <v>87</v>
      </c>
      <c r="T33" t="s">
        <v>89</v>
      </c>
      <c r="U33">
        <v>122</v>
      </c>
      <c r="V33">
        <v>45</v>
      </c>
      <c r="W33">
        <v>70.7</v>
      </c>
      <c r="X33">
        <v>109</v>
      </c>
      <c r="Y33">
        <v>88</v>
      </c>
      <c r="Z33">
        <v>1320</v>
      </c>
      <c r="AA33">
        <v>1287</v>
      </c>
      <c r="AB33">
        <v>-33</v>
      </c>
      <c r="AC33">
        <v>35088</v>
      </c>
      <c r="AD33">
        <v>15.4</v>
      </c>
      <c r="AE33">
        <v>6127</v>
      </c>
      <c r="AF33">
        <v>16.100000000000001</v>
      </c>
      <c r="AG33">
        <v>34</v>
      </c>
      <c r="AH33">
        <v>443</v>
      </c>
      <c r="AI33">
        <v>44.7</v>
      </c>
      <c r="AJ33">
        <v>5.6</v>
      </c>
      <c r="AK33">
        <v>6.4</v>
      </c>
      <c r="AL33">
        <v>122</v>
      </c>
      <c r="AM33">
        <v>46.7</v>
      </c>
      <c r="AN33">
        <v>97</v>
      </c>
      <c r="AO33">
        <v>127</v>
      </c>
      <c r="AP33">
        <v>72</v>
      </c>
      <c r="AQ33">
        <v>11</v>
      </c>
      <c r="AR33">
        <v>133.5</v>
      </c>
      <c r="AS33">
        <v>4.2</v>
      </c>
      <c r="AT33">
        <v>65</v>
      </c>
      <c r="AU33">
        <v>23</v>
      </c>
      <c r="AV33">
        <v>38.299999999999997</v>
      </c>
      <c r="AW33">
        <v>2</v>
      </c>
      <c r="AX33">
        <v>5.8</v>
      </c>
      <c r="AY33">
        <v>2.2000000000000002</v>
      </c>
      <c r="AZ33">
        <v>13.3</v>
      </c>
      <c r="BA33">
        <v>293</v>
      </c>
      <c r="BB33">
        <v>15</v>
      </c>
      <c r="BC33">
        <v>68</v>
      </c>
      <c r="BD33">
        <v>129</v>
      </c>
      <c r="BE33">
        <v>25.2</v>
      </c>
      <c r="BF33" t="s">
        <v>87</v>
      </c>
      <c r="BG33">
        <v>55</v>
      </c>
      <c r="BH33">
        <v>42.1</v>
      </c>
      <c r="BI33">
        <v>-8.8000000000000007</v>
      </c>
      <c r="BJ33" t="s">
        <v>125</v>
      </c>
      <c r="BK33">
        <v>55</v>
      </c>
      <c r="BL33">
        <v>20</v>
      </c>
      <c r="BM33">
        <v>1</v>
      </c>
      <c r="BN33" t="s">
        <v>91</v>
      </c>
      <c r="BO33" t="s">
        <v>92</v>
      </c>
      <c r="BP33" t="s">
        <v>93</v>
      </c>
      <c r="BQ33" t="s">
        <v>94</v>
      </c>
      <c r="BR33">
        <v>1070</v>
      </c>
      <c r="BS33">
        <v>37.299999999999997</v>
      </c>
      <c r="BT33" t="s">
        <v>95</v>
      </c>
      <c r="BU33" t="s">
        <v>86</v>
      </c>
      <c r="BV33" t="s">
        <v>86</v>
      </c>
      <c r="BW33" t="s">
        <v>86</v>
      </c>
      <c r="BX33" t="s">
        <v>96</v>
      </c>
      <c r="BY33" t="s">
        <v>86</v>
      </c>
      <c r="BZ33" t="s">
        <v>86</v>
      </c>
      <c r="CA33">
        <v>5</v>
      </c>
      <c r="CB33" t="s">
        <v>97</v>
      </c>
      <c r="CC33" t="s">
        <v>86</v>
      </c>
    </row>
    <row r="34" spans="1:81">
      <c r="A34" t="s">
        <v>192</v>
      </c>
      <c r="B34" t="s">
        <v>193</v>
      </c>
      <c r="C34" t="s">
        <v>345</v>
      </c>
      <c r="D34" t="s">
        <v>83</v>
      </c>
      <c r="E34">
        <v>61</v>
      </c>
      <c r="F34" t="s">
        <v>84</v>
      </c>
      <c r="G34">
        <v>105.8</v>
      </c>
      <c r="H34">
        <v>185</v>
      </c>
      <c r="I34">
        <v>30.9</v>
      </c>
      <c r="J34">
        <v>102.1</v>
      </c>
      <c r="K34" t="s">
        <v>100</v>
      </c>
      <c r="L34" t="s">
        <v>87</v>
      </c>
      <c r="M34" t="s">
        <v>87</v>
      </c>
      <c r="N34" t="s">
        <v>87</v>
      </c>
      <c r="O34" t="s">
        <v>87</v>
      </c>
      <c r="P34" t="s">
        <v>108</v>
      </c>
      <c r="Q34">
        <v>14</v>
      </c>
      <c r="R34" t="s">
        <v>86</v>
      </c>
      <c r="S34" t="s">
        <v>87</v>
      </c>
      <c r="T34" t="s">
        <v>102</v>
      </c>
      <c r="U34">
        <v>126</v>
      </c>
      <c r="V34">
        <v>75</v>
      </c>
      <c r="W34">
        <v>92</v>
      </c>
      <c r="X34">
        <v>104</v>
      </c>
      <c r="Y34">
        <v>99</v>
      </c>
      <c r="Z34">
        <v>1234</v>
      </c>
      <c r="AA34">
        <v>1059</v>
      </c>
      <c r="AB34">
        <v>-175</v>
      </c>
      <c r="AC34">
        <v>6351</v>
      </c>
      <c r="AD34">
        <v>10.9</v>
      </c>
      <c r="AE34">
        <v>8998</v>
      </c>
      <c r="AF34">
        <v>33.6</v>
      </c>
      <c r="AG34">
        <v>86</v>
      </c>
      <c r="AH34">
        <v>719</v>
      </c>
      <c r="AI34">
        <v>44.4</v>
      </c>
      <c r="AJ34">
        <v>6.9</v>
      </c>
      <c r="AK34">
        <v>7</v>
      </c>
      <c r="AL34">
        <v>129</v>
      </c>
      <c r="AM34">
        <v>33.200000000000003</v>
      </c>
      <c r="AN34">
        <v>250</v>
      </c>
      <c r="AO34">
        <v>108</v>
      </c>
      <c r="AP34">
        <v>72</v>
      </c>
      <c r="AQ34">
        <v>7</v>
      </c>
      <c r="AR34">
        <v>134</v>
      </c>
      <c r="AS34">
        <v>5</v>
      </c>
      <c r="AT34">
        <v>84</v>
      </c>
      <c r="AU34">
        <v>86</v>
      </c>
      <c r="AV34">
        <v>36.4</v>
      </c>
      <c r="AW34">
        <v>1</v>
      </c>
      <c r="AX34">
        <v>11.7</v>
      </c>
      <c r="AY34">
        <v>4.9000000000000004</v>
      </c>
      <c r="AZ34">
        <v>15.4</v>
      </c>
      <c r="BA34">
        <v>237</v>
      </c>
      <c r="BB34">
        <v>38</v>
      </c>
      <c r="BC34">
        <v>66</v>
      </c>
      <c r="BD34">
        <v>136</v>
      </c>
      <c r="BE34">
        <v>13.4</v>
      </c>
      <c r="BF34" t="s">
        <v>86</v>
      </c>
      <c r="BG34">
        <v>46</v>
      </c>
      <c r="BH34">
        <v>60.1</v>
      </c>
      <c r="BI34">
        <v>-12.6</v>
      </c>
      <c r="BJ34" t="s">
        <v>115</v>
      </c>
      <c r="BK34">
        <v>0</v>
      </c>
      <c r="BL34">
        <v>45</v>
      </c>
      <c r="BM34">
        <v>1.1000000000000001</v>
      </c>
      <c r="BN34" t="s">
        <v>96</v>
      </c>
      <c r="BO34" t="s">
        <v>92</v>
      </c>
      <c r="BP34" t="s">
        <v>130</v>
      </c>
      <c r="BQ34" t="s">
        <v>103</v>
      </c>
      <c r="BR34">
        <v>1020</v>
      </c>
      <c r="BS34">
        <v>39.9</v>
      </c>
      <c r="BT34" t="s">
        <v>143</v>
      </c>
      <c r="BU34" t="s">
        <v>86</v>
      </c>
      <c r="BV34" t="s">
        <v>86</v>
      </c>
      <c r="BW34" t="s">
        <v>86</v>
      </c>
      <c r="BX34" t="s">
        <v>96</v>
      </c>
      <c r="BY34" t="s">
        <v>86</v>
      </c>
      <c r="BZ34" t="s">
        <v>86</v>
      </c>
      <c r="CA34">
        <v>6</v>
      </c>
      <c r="CB34" t="s">
        <v>97</v>
      </c>
      <c r="CC34" t="s">
        <v>86</v>
      </c>
    </row>
    <row r="35" spans="1:81">
      <c r="A35" t="s">
        <v>194</v>
      </c>
      <c r="B35" t="s">
        <v>195</v>
      </c>
      <c r="C35" t="s">
        <v>345</v>
      </c>
      <c r="D35" t="s">
        <v>83</v>
      </c>
      <c r="E35">
        <v>45</v>
      </c>
      <c r="F35" t="s">
        <v>167</v>
      </c>
      <c r="G35">
        <v>104.6</v>
      </c>
      <c r="H35">
        <v>184</v>
      </c>
      <c r="I35">
        <v>30.9</v>
      </c>
      <c r="J35">
        <v>92.7</v>
      </c>
      <c r="K35" t="s">
        <v>100</v>
      </c>
      <c r="L35" t="s">
        <v>86</v>
      </c>
      <c r="M35" t="s">
        <v>87</v>
      </c>
      <c r="N35" t="s">
        <v>87</v>
      </c>
      <c r="O35" t="s">
        <v>87</v>
      </c>
      <c r="P35" t="s">
        <v>129</v>
      </c>
      <c r="Q35">
        <v>20</v>
      </c>
      <c r="R35" t="s">
        <v>86</v>
      </c>
      <c r="S35" t="s">
        <v>87</v>
      </c>
      <c r="T35" t="s">
        <v>102</v>
      </c>
      <c r="U35">
        <v>146</v>
      </c>
      <c r="V35">
        <v>55</v>
      </c>
      <c r="W35">
        <v>85.3</v>
      </c>
      <c r="X35">
        <v>135</v>
      </c>
      <c r="Y35">
        <v>91</v>
      </c>
      <c r="Z35">
        <v>476</v>
      </c>
      <c r="AA35">
        <v>587</v>
      </c>
      <c r="AB35">
        <v>111</v>
      </c>
      <c r="AC35">
        <v>7994</v>
      </c>
      <c r="AD35">
        <v>9</v>
      </c>
      <c r="AE35">
        <v>4811</v>
      </c>
      <c r="AF35">
        <v>77.2</v>
      </c>
      <c r="AG35">
        <v>69</v>
      </c>
      <c r="AH35">
        <v>325</v>
      </c>
      <c r="AI35">
        <v>12.8</v>
      </c>
      <c r="AJ35">
        <v>7.4</v>
      </c>
      <c r="AK35">
        <v>13</v>
      </c>
      <c r="AL35">
        <v>129</v>
      </c>
      <c r="AM35">
        <v>47.1</v>
      </c>
      <c r="AN35">
        <v>243</v>
      </c>
      <c r="AO35">
        <v>77</v>
      </c>
      <c r="AP35">
        <v>100</v>
      </c>
      <c r="AQ35">
        <v>8.9</v>
      </c>
      <c r="AR35">
        <v>138.4</v>
      </c>
      <c r="AS35">
        <v>4.3</v>
      </c>
      <c r="AT35">
        <v>14</v>
      </c>
      <c r="AU35">
        <v>113</v>
      </c>
      <c r="AV35">
        <v>41.5</v>
      </c>
      <c r="AW35">
        <v>2.4</v>
      </c>
      <c r="AX35">
        <v>11.1</v>
      </c>
      <c r="AY35">
        <v>6</v>
      </c>
      <c r="AZ35">
        <v>14.2</v>
      </c>
      <c r="BA35">
        <v>191</v>
      </c>
      <c r="BB35">
        <v>38</v>
      </c>
      <c r="BC35">
        <v>57</v>
      </c>
      <c r="BD35">
        <v>124</v>
      </c>
      <c r="BE35">
        <v>29.6</v>
      </c>
      <c r="BF35" t="s">
        <v>86</v>
      </c>
      <c r="BG35">
        <v>41</v>
      </c>
      <c r="BH35">
        <v>48.3</v>
      </c>
      <c r="BI35">
        <v>-12</v>
      </c>
      <c r="BJ35" t="s">
        <v>125</v>
      </c>
      <c r="BK35">
        <v>449</v>
      </c>
      <c r="BL35">
        <v>29</v>
      </c>
      <c r="BM35">
        <v>0.93</v>
      </c>
      <c r="BN35" t="s">
        <v>96</v>
      </c>
      <c r="BO35" t="s">
        <v>92</v>
      </c>
      <c r="BP35" t="s">
        <v>93</v>
      </c>
      <c r="BQ35" t="s">
        <v>94</v>
      </c>
      <c r="BR35">
        <v>1100</v>
      </c>
      <c r="BS35">
        <v>34.6</v>
      </c>
      <c r="BT35" t="s">
        <v>143</v>
      </c>
      <c r="BU35" t="s">
        <v>87</v>
      </c>
      <c r="BV35" t="s">
        <v>86</v>
      </c>
      <c r="BW35" t="s">
        <v>86</v>
      </c>
      <c r="BX35" t="s">
        <v>96</v>
      </c>
      <c r="BY35" t="s">
        <v>86</v>
      </c>
      <c r="BZ35" t="s">
        <v>86</v>
      </c>
      <c r="CA35">
        <v>12</v>
      </c>
      <c r="CB35" t="s">
        <v>97</v>
      </c>
      <c r="CC35" t="s">
        <v>87</v>
      </c>
    </row>
    <row r="36" spans="1:81">
      <c r="A36" t="s">
        <v>196</v>
      </c>
      <c r="B36" t="s">
        <v>197</v>
      </c>
      <c r="C36" t="s">
        <v>345</v>
      </c>
      <c r="D36" t="s">
        <v>83</v>
      </c>
      <c r="E36">
        <v>48</v>
      </c>
      <c r="F36" t="s">
        <v>128</v>
      </c>
      <c r="G36">
        <v>135.1</v>
      </c>
      <c r="H36">
        <v>180</v>
      </c>
      <c r="I36">
        <v>41.7</v>
      </c>
      <c r="J36">
        <v>128.69999999999999</v>
      </c>
      <c r="K36" t="s">
        <v>85</v>
      </c>
      <c r="L36" t="s">
        <v>87</v>
      </c>
      <c r="M36" t="s">
        <v>87</v>
      </c>
      <c r="N36" t="s">
        <v>87</v>
      </c>
      <c r="O36" t="s">
        <v>87</v>
      </c>
      <c r="P36" t="s">
        <v>157</v>
      </c>
      <c r="Q36">
        <v>22</v>
      </c>
      <c r="R36" t="s">
        <v>86</v>
      </c>
      <c r="S36" t="s">
        <v>87</v>
      </c>
      <c r="T36" t="s">
        <v>89</v>
      </c>
      <c r="U36">
        <v>126</v>
      </c>
      <c r="V36">
        <v>79</v>
      </c>
      <c r="W36">
        <v>94.7</v>
      </c>
      <c r="X36">
        <v>112</v>
      </c>
      <c r="Y36">
        <v>86</v>
      </c>
      <c r="Z36">
        <v>2241</v>
      </c>
      <c r="AA36">
        <v>2053</v>
      </c>
      <c r="AB36">
        <v>-188</v>
      </c>
      <c r="AC36">
        <v>15853</v>
      </c>
      <c r="AD36">
        <v>18.2</v>
      </c>
      <c r="AE36">
        <v>5120</v>
      </c>
      <c r="AF36">
        <v>19.7</v>
      </c>
      <c r="AG36">
        <v>63</v>
      </c>
      <c r="AH36">
        <v>570</v>
      </c>
      <c r="AI36">
        <v>17.3</v>
      </c>
      <c r="AJ36">
        <v>6.9</v>
      </c>
      <c r="AK36">
        <v>7.5</v>
      </c>
      <c r="AL36">
        <v>144</v>
      </c>
      <c r="AM36">
        <v>38</v>
      </c>
      <c r="AN36">
        <v>319</v>
      </c>
      <c r="AO36">
        <v>156</v>
      </c>
      <c r="AP36">
        <v>71</v>
      </c>
      <c r="AQ36">
        <v>8.9</v>
      </c>
      <c r="AR36">
        <v>135.69999999999999</v>
      </c>
      <c r="AS36">
        <v>3.9</v>
      </c>
      <c r="AT36">
        <v>83</v>
      </c>
      <c r="AU36">
        <v>26</v>
      </c>
      <c r="AV36">
        <v>36.299999999999997</v>
      </c>
      <c r="AW36">
        <v>2.1</v>
      </c>
      <c r="AX36">
        <v>11.9</v>
      </c>
      <c r="AY36">
        <v>3.1</v>
      </c>
      <c r="AZ36">
        <v>14.4</v>
      </c>
      <c r="BA36">
        <v>257</v>
      </c>
      <c r="BB36">
        <v>23</v>
      </c>
      <c r="BC36">
        <v>58</v>
      </c>
      <c r="BD36">
        <v>213</v>
      </c>
      <c r="BE36">
        <v>19.399999999999999</v>
      </c>
      <c r="BF36" t="s">
        <v>87</v>
      </c>
      <c r="BG36">
        <v>50</v>
      </c>
      <c r="BH36">
        <v>44.6</v>
      </c>
      <c r="BI36">
        <v>-14.3</v>
      </c>
      <c r="BJ36" t="s">
        <v>125</v>
      </c>
      <c r="BK36">
        <v>377</v>
      </c>
      <c r="BL36">
        <v>36</v>
      </c>
      <c r="BM36">
        <v>0.89</v>
      </c>
      <c r="BN36" t="s">
        <v>91</v>
      </c>
      <c r="BO36" t="s">
        <v>92</v>
      </c>
      <c r="BP36" t="s">
        <v>93</v>
      </c>
      <c r="BQ36" t="s">
        <v>94</v>
      </c>
      <c r="BR36">
        <v>1111</v>
      </c>
      <c r="BS36">
        <v>28.2</v>
      </c>
      <c r="BT36" t="s">
        <v>131</v>
      </c>
      <c r="BU36" t="s">
        <v>87</v>
      </c>
      <c r="BV36" t="s">
        <v>86</v>
      </c>
      <c r="BW36" t="s">
        <v>87</v>
      </c>
      <c r="BX36" t="s">
        <v>96</v>
      </c>
      <c r="BY36" t="s">
        <v>86</v>
      </c>
      <c r="BZ36" t="s">
        <v>86</v>
      </c>
      <c r="CA36">
        <v>8</v>
      </c>
      <c r="CB36" t="s">
        <v>97</v>
      </c>
      <c r="CC36" t="s">
        <v>87</v>
      </c>
    </row>
    <row r="37" spans="1:81">
      <c r="A37" t="s">
        <v>198</v>
      </c>
      <c r="B37" t="s">
        <v>199</v>
      </c>
      <c r="C37" t="s">
        <v>345</v>
      </c>
      <c r="D37" t="s">
        <v>83</v>
      </c>
      <c r="E37">
        <v>35</v>
      </c>
      <c r="F37" t="s">
        <v>167</v>
      </c>
      <c r="G37">
        <v>103.5</v>
      </c>
      <c r="H37">
        <v>183</v>
      </c>
      <c r="I37">
        <v>30.9</v>
      </c>
      <c r="J37">
        <v>98</v>
      </c>
      <c r="K37" t="s">
        <v>100</v>
      </c>
      <c r="L37" t="s">
        <v>86</v>
      </c>
      <c r="M37" t="s">
        <v>87</v>
      </c>
      <c r="N37" t="s">
        <v>87</v>
      </c>
      <c r="O37" t="s">
        <v>87</v>
      </c>
      <c r="P37" t="s">
        <v>88</v>
      </c>
      <c r="Q37">
        <v>14</v>
      </c>
      <c r="R37" t="s">
        <v>87</v>
      </c>
      <c r="S37" t="s">
        <v>87</v>
      </c>
      <c r="T37" t="s">
        <v>89</v>
      </c>
      <c r="U37">
        <v>146</v>
      </c>
      <c r="V37">
        <v>69</v>
      </c>
      <c r="W37">
        <v>94.7</v>
      </c>
      <c r="X37">
        <v>96</v>
      </c>
      <c r="Y37">
        <v>90</v>
      </c>
      <c r="Z37">
        <v>558</v>
      </c>
      <c r="AA37">
        <v>747</v>
      </c>
      <c r="AB37">
        <v>189</v>
      </c>
      <c r="AC37">
        <v>13250</v>
      </c>
      <c r="AD37">
        <v>26.7</v>
      </c>
      <c r="AE37">
        <v>4882</v>
      </c>
      <c r="AF37">
        <v>51.9</v>
      </c>
      <c r="AG37">
        <v>60</v>
      </c>
      <c r="AH37">
        <v>1298</v>
      </c>
      <c r="AI37">
        <v>44.5</v>
      </c>
      <c r="AJ37">
        <v>8.3000000000000007</v>
      </c>
      <c r="AK37">
        <v>11.1</v>
      </c>
      <c r="AL37">
        <v>132</v>
      </c>
      <c r="AM37">
        <v>50.7</v>
      </c>
      <c r="AN37">
        <v>293</v>
      </c>
      <c r="AO37">
        <v>62</v>
      </c>
      <c r="AP37">
        <v>115</v>
      </c>
      <c r="AQ37">
        <v>9</v>
      </c>
      <c r="AR37">
        <v>133.69999999999999</v>
      </c>
      <c r="AS37">
        <v>3.7</v>
      </c>
      <c r="AT37">
        <v>20</v>
      </c>
      <c r="AU37">
        <v>58</v>
      </c>
      <c r="AV37">
        <v>46.4</v>
      </c>
      <c r="AW37">
        <v>2.7</v>
      </c>
      <c r="AX37">
        <v>15.9</v>
      </c>
      <c r="AY37">
        <v>4.3</v>
      </c>
      <c r="AZ37">
        <v>13.6</v>
      </c>
      <c r="BA37">
        <v>284</v>
      </c>
      <c r="BB37">
        <v>30</v>
      </c>
      <c r="BC37">
        <v>65</v>
      </c>
      <c r="BD37">
        <v>131</v>
      </c>
      <c r="BE37">
        <v>15.8</v>
      </c>
      <c r="BF37" t="s">
        <v>86</v>
      </c>
      <c r="BG37">
        <v>38</v>
      </c>
      <c r="BH37">
        <v>46.3</v>
      </c>
      <c r="BI37">
        <v>-9.8000000000000007</v>
      </c>
      <c r="BJ37" t="s">
        <v>125</v>
      </c>
      <c r="BK37">
        <v>98</v>
      </c>
      <c r="BL37">
        <v>6</v>
      </c>
      <c r="BM37">
        <v>0.97</v>
      </c>
      <c r="BN37" t="s">
        <v>96</v>
      </c>
      <c r="BO37" t="s">
        <v>92</v>
      </c>
      <c r="BP37" t="s">
        <v>93</v>
      </c>
      <c r="BQ37" t="s">
        <v>103</v>
      </c>
      <c r="BR37">
        <v>1184</v>
      </c>
      <c r="BS37">
        <v>29</v>
      </c>
      <c r="BT37" t="s">
        <v>131</v>
      </c>
      <c r="BU37" t="s">
        <v>86</v>
      </c>
      <c r="BV37" t="s">
        <v>86</v>
      </c>
      <c r="BW37" t="s">
        <v>86</v>
      </c>
      <c r="BX37" t="s">
        <v>96</v>
      </c>
      <c r="BY37" t="s">
        <v>86</v>
      </c>
      <c r="BZ37" t="s">
        <v>86</v>
      </c>
      <c r="CA37">
        <v>8</v>
      </c>
      <c r="CB37" t="s">
        <v>97</v>
      </c>
      <c r="CC37" t="s">
        <v>86</v>
      </c>
    </row>
    <row r="38" spans="1:81">
      <c r="A38" t="s">
        <v>200</v>
      </c>
      <c r="B38" t="s">
        <v>201</v>
      </c>
      <c r="C38" t="s">
        <v>345</v>
      </c>
      <c r="D38" t="s">
        <v>83</v>
      </c>
      <c r="E38">
        <v>53</v>
      </c>
      <c r="F38" t="s">
        <v>167</v>
      </c>
      <c r="G38">
        <v>88.8</v>
      </c>
      <c r="H38">
        <v>181</v>
      </c>
      <c r="I38">
        <v>27.1</v>
      </c>
      <c r="J38">
        <v>94.5</v>
      </c>
      <c r="K38" t="s">
        <v>114</v>
      </c>
      <c r="L38" t="s">
        <v>86</v>
      </c>
      <c r="M38" t="s">
        <v>87</v>
      </c>
      <c r="N38" t="s">
        <v>87</v>
      </c>
      <c r="O38" t="s">
        <v>86</v>
      </c>
      <c r="P38" t="s">
        <v>134</v>
      </c>
      <c r="Q38">
        <v>0</v>
      </c>
      <c r="R38" t="s">
        <v>86</v>
      </c>
      <c r="S38" t="s">
        <v>86</v>
      </c>
      <c r="T38" t="s">
        <v>102</v>
      </c>
      <c r="U38">
        <v>148</v>
      </c>
      <c r="V38">
        <v>73</v>
      </c>
      <c r="W38">
        <v>98</v>
      </c>
      <c r="X38">
        <v>138</v>
      </c>
      <c r="Y38">
        <v>93</v>
      </c>
      <c r="Z38">
        <v>3591</v>
      </c>
      <c r="AA38">
        <v>4162</v>
      </c>
      <c r="AB38">
        <v>571</v>
      </c>
      <c r="AC38">
        <v>10732</v>
      </c>
      <c r="AD38">
        <v>21.5</v>
      </c>
      <c r="AE38">
        <v>6116</v>
      </c>
      <c r="AF38">
        <v>49.5</v>
      </c>
      <c r="AG38">
        <v>44</v>
      </c>
      <c r="AH38">
        <v>398</v>
      </c>
      <c r="AI38">
        <v>5</v>
      </c>
      <c r="AJ38">
        <v>8.4</v>
      </c>
      <c r="AK38">
        <v>8.6999999999999993</v>
      </c>
      <c r="AL38">
        <v>61</v>
      </c>
      <c r="AM38">
        <v>27.2</v>
      </c>
      <c r="AN38">
        <v>261</v>
      </c>
      <c r="AO38">
        <v>95</v>
      </c>
      <c r="AP38">
        <v>94</v>
      </c>
      <c r="AQ38">
        <v>7.1</v>
      </c>
      <c r="AR38">
        <v>135.69999999999999</v>
      </c>
      <c r="AS38">
        <v>4.7</v>
      </c>
      <c r="AT38">
        <v>28</v>
      </c>
      <c r="AU38">
        <v>77</v>
      </c>
      <c r="AV38">
        <v>34.9</v>
      </c>
      <c r="AW38">
        <v>1.6</v>
      </c>
      <c r="AX38">
        <v>6.7</v>
      </c>
      <c r="AY38">
        <v>4.5999999999999996</v>
      </c>
      <c r="AZ38">
        <v>15.1</v>
      </c>
      <c r="BA38">
        <v>325</v>
      </c>
      <c r="BB38">
        <v>35</v>
      </c>
      <c r="BC38">
        <v>61</v>
      </c>
      <c r="BD38">
        <v>174</v>
      </c>
      <c r="BE38">
        <v>21.7</v>
      </c>
      <c r="BF38" t="s">
        <v>87</v>
      </c>
      <c r="BG38">
        <v>38</v>
      </c>
      <c r="BH38">
        <v>68.5</v>
      </c>
      <c r="BI38">
        <v>-12.6</v>
      </c>
      <c r="BJ38" t="s">
        <v>125</v>
      </c>
      <c r="BK38">
        <v>1331</v>
      </c>
      <c r="BL38">
        <v>19</v>
      </c>
      <c r="BM38">
        <v>0.79</v>
      </c>
      <c r="BN38" t="s">
        <v>96</v>
      </c>
      <c r="BO38" t="s">
        <v>92</v>
      </c>
      <c r="BP38" t="s">
        <v>93</v>
      </c>
      <c r="BQ38" t="s">
        <v>94</v>
      </c>
      <c r="BR38">
        <v>1084</v>
      </c>
      <c r="BS38">
        <v>29.3</v>
      </c>
      <c r="BT38" t="s">
        <v>131</v>
      </c>
      <c r="BU38" t="s">
        <v>86</v>
      </c>
      <c r="BV38" t="s">
        <v>86</v>
      </c>
      <c r="BW38" t="s">
        <v>86</v>
      </c>
      <c r="BX38" t="s">
        <v>96</v>
      </c>
      <c r="BY38" t="s">
        <v>86</v>
      </c>
      <c r="BZ38" t="s">
        <v>86</v>
      </c>
      <c r="CA38">
        <v>11</v>
      </c>
      <c r="CB38" t="s">
        <v>97</v>
      </c>
      <c r="CC38" t="s">
        <v>86</v>
      </c>
    </row>
    <row r="39" spans="1:81">
      <c r="A39" t="s">
        <v>202</v>
      </c>
      <c r="B39" t="s">
        <v>203</v>
      </c>
      <c r="C39" t="s">
        <v>345</v>
      </c>
      <c r="D39" t="s">
        <v>83</v>
      </c>
      <c r="E39">
        <v>59</v>
      </c>
      <c r="F39" t="s">
        <v>167</v>
      </c>
      <c r="G39">
        <v>83.4</v>
      </c>
      <c r="H39">
        <v>172</v>
      </c>
      <c r="I39">
        <v>28.2</v>
      </c>
      <c r="J39">
        <v>88.7</v>
      </c>
      <c r="K39" t="s">
        <v>114</v>
      </c>
      <c r="L39" t="s">
        <v>86</v>
      </c>
      <c r="M39" t="s">
        <v>87</v>
      </c>
      <c r="N39" t="s">
        <v>86</v>
      </c>
      <c r="O39" t="s">
        <v>87</v>
      </c>
      <c r="P39" t="s">
        <v>88</v>
      </c>
      <c r="Q39">
        <v>12</v>
      </c>
      <c r="R39" t="s">
        <v>87</v>
      </c>
      <c r="S39" t="s">
        <v>87</v>
      </c>
      <c r="T39" t="s">
        <v>124</v>
      </c>
      <c r="U39">
        <v>123</v>
      </c>
      <c r="V39">
        <v>85</v>
      </c>
      <c r="W39">
        <v>97.7</v>
      </c>
      <c r="X39">
        <v>105</v>
      </c>
      <c r="Y39">
        <v>92</v>
      </c>
      <c r="Z39">
        <v>3276</v>
      </c>
      <c r="AA39">
        <v>4268</v>
      </c>
      <c r="AB39">
        <v>992</v>
      </c>
      <c r="AC39">
        <v>10149</v>
      </c>
      <c r="AD39">
        <v>42.9</v>
      </c>
      <c r="AE39">
        <v>5780</v>
      </c>
      <c r="AF39">
        <v>64.8</v>
      </c>
      <c r="AG39">
        <v>63</v>
      </c>
      <c r="AH39">
        <v>834</v>
      </c>
      <c r="AI39">
        <v>30.4</v>
      </c>
      <c r="AJ39">
        <v>5.5</v>
      </c>
      <c r="AK39">
        <v>7</v>
      </c>
      <c r="AL39">
        <v>149</v>
      </c>
      <c r="AM39">
        <v>57.9</v>
      </c>
      <c r="AN39">
        <v>95</v>
      </c>
      <c r="AO39">
        <v>119</v>
      </c>
      <c r="AP39">
        <v>59</v>
      </c>
      <c r="AQ39">
        <v>7.5</v>
      </c>
      <c r="AR39">
        <v>138.80000000000001</v>
      </c>
      <c r="AS39">
        <v>4.7</v>
      </c>
      <c r="AT39">
        <v>45</v>
      </c>
      <c r="AU39">
        <v>110</v>
      </c>
      <c r="AV39">
        <v>33</v>
      </c>
      <c r="AW39">
        <v>3</v>
      </c>
      <c r="AX39">
        <v>15.4</v>
      </c>
      <c r="AY39">
        <v>6</v>
      </c>
      <c r="AZ39">
        <v>15.2</v>
      </c>
      <c r="BA39">
        <v>263</v>
      </c>
      <c r="BB39">
        <v>42</v>
      </c>
      <c r="BC39">
        <v>52</v>
      </c>
      <c r="BD39">
        <v>140</v>
      </c>
      <c r="BE39">
        <v>15.1</v>
      </c>
      <c r="BF39" t="s">
        <v>86</v>
      </c>
      <c r="BG39">
        <v>48</v>
      </c>
      <c r="BH39">
        <v>52</v>
      </c>
      <c r="BI39">
        <v>-14.4</v>
      </c>
      <c r="BJ39" t="s">
        <v>125</v>
      </c>
      <c r="BK39">
        <v>327</v>
      </c>
      <c r="BL39">
        <v>34</v>
      </c>
      <c r="BM39">
        <v>0.93</v>
      </c>
      <c r="BN39" t="s">
        <v>119</v>
      </c>
      <c r="BO39" t="s">
        <v>92</v>
      </c>
      <c r="BP39" t="s">
        <v>130</v>
      </c>
      <c r="BQ39" t="s">
        <v>94</v>
      </c>
      <c r="BR39">
        <v>1106</v>
      </c>
      <c r="BS39">
        <v>37.299999999999997</v>
      </c>
      <c r="BT39" t="s">
        <v>110</v>
      </c>
      <c r="BU39" t="s">
        <v>86</v>
      </c>
      <c r="BV39" t="s">
        <v>86</v>
      </c>
      <c r="BW39" t="s">
        <v>86</v>
      </c>
      <c r="BX39" t="s">
        <v>96</v>
      </c>
      <c r="BY39" t="s">
        <v>86</v>
      </c>
      <c r="BZ39" t="s">
        <v>86</v>
      </c>
      <c r="CA39">
        <v>4</v>
      </c>
      <c r="CB39" t="s">
        <v>97</v>
      </c>
      <c r="CC39" t="s">
        <v>86</v>
      </c>
    </row>
    <row r="40" spans="1:81">
      <c r="A40" t="s">
        <v>204</v>
      </c>
      <c r="B40" t="s">
        <v>205</v>
      </c>
      <c r="C40" t="s">
        <v>345</v>
      </c>
      <c r="D40" t="s">
        <v>83</v>
      </c>
      <c r="E40">
        <v>40</v>
      </c>
      <c r="F40" t="s">
        <v>128</v>
      </c>
      <c r="G40">
        <v>118.5</v>
      </c>
      <c r="H40">
        <v>184</v>
      </c>
      <c r="I40">
        <v>35</v>
      </c>
      <c r="J40">
        <v>106</v>
      </c>
      <c r="K40" t="s">
        <v>123</v>
      </c>
      <c r="L40" t="s">
        <v>87</v>
      </c>
      <c r="M40" t="s">
        <v>86</v>
      </c>
      <c r="N40" t="s">
        <v>87</v>
      </c>
      <c r="O40" t="s">
        <v>86</v>
      </c>
      <c r="P40" t="s">
        <v>101</v>
      </c>
      <c r="Q40">
        <v>7</v>
      </c>
      <c r="R40" t="s">
        <v>87</v>
      </c>
      <c r="S40" t="s">
        <v>87</v>
      </c>
      <c r="T40" t="s">
        <v>102</v>
      </c>
      <c r="U40">
        <v>138</v>
      </c>
      <c r="V40">
        <v>79</v>
      </c>
      <c r="W40">
        <v>98.7</v>
      </c>
      <c r="X40">
        <v>144</v>
      </c>
      <c r="Y40">
        <v>93</v>
      </c>
      <c r="Z40">
        <v>1606</v>
      </c>
      <c r="AA40">
        <v>1411</v>
      </c>
      <c r="AB40">
        <v>-195</v>
      </c>
      <c r="AC40">
        <v>7554</v>
      </c>
      <c r="AD40">
        <v>22.2</v>
      </c>
      <c r="AE40">
        <v>5020</v>
      </c>
      <c r="AF40">
        <v>30.8</v>
      </c>
      <c r="AG40">
        <v>49</v>
      </c>
      <c r="AH40">
        <v>838</v>
      </c>
      <c r="AI40">
        <v>45.6</v>
      </c>
      <c r="AJ40">
        <v>8.5</v>
      </c>
      <c r="AK40">
        <v>10</v>
      </c>
      <c r="AL40">
        <v>113</v>
      </c>
      <c r="AM40">
        <v>42</v>
      </c>
      <c r="AN40">
        <v>269</v>
      </c>
      <c r="AO40">
        <v>75</v>
      </c>
      <c r="AP40">
        <v>98</v>
      </c>
      <c r="AQ40">
        <v>4.5999999999999996</v>
      </c>
      <c r="AR40">
        <v>143.80000000000001</v>
      </c>
      <c r="AS40">
        <v>4.7</v>
      </c>
      <c r="AT40">
        <v>51</v>
      </c>
      <c r="AU40">
        <v>74</v>
      </c>
      <c r="AV40">
        <v>37.9</v>
      </c>
      <c r="AW40">
        <v>0.8</v>
      </c>
      <c r="AX40">
        <v>11.9</v>
      </c>
      <c r="AY40">
        <v>9.5</v>
      </c>
      <c r="AZ40">
        <v>13.5</v>
      </c>
      <c r="BA40">
        <v>214</v>
      </c>
      <c r="BB40">
        <v>39</v>
      </c>
      <c r="BC40">
        <v>54</v>
      </c>
      <c r="BD40">
        <v>158</v>
      </c>
      <c r="BE40">
        <v>18.100000000000001</v>
      </c>
      <c r="BF40" t="s">
        <v>87</v>
      </c>
      <c r="BG40">
        <v>69</v>
      </c>
      <c r="BH40">
        <v>36.4</v>
      </c>
      <c r="BI40">
        <v>-16.399999999999999</v>
      </c>
      <c r="BJ40" t="s">
        <v>90</v>
      </c>
      <c r="BK40">
        <v>362</v>
      </c>
      <c r="BL40">
        <v>18</v>
      </c>
      <c r="BM40">
        <v>1.06</v>
      </c>
      <c r="BN40" t="s">
        <v>96</v>
      </c>
      <c r="BO40" t="s">
        <v>109</v>
      </c>
      <c r="BP40" t="s">
        <v>93</v>
      </c>
      <c r="BQ40" t="s">
        <v>94</v>
      </c>
      <c r="BR40">
        <v>1045</v>
      </c>
      <c r="BS40">
        <v>43.7</v>
      </c>
      <c r="BT40" t="s">
        <v>95</v>
      </c>
      <c r="BU40" t="s">
        <v>86</v>
      </c>
      <c r="BV40" t="s">
        <v>86</v>
      </c>
      <c r="BW40" t="s">
        <v>86</v>
      </c>
      <c r="BX40" t="s">
        <v>96</v>
      </c>
      <c r="BY40" t="s">
        <v>86</v>
      </c>
      <c r="BZ40" t="s">
        <v>86</v>
      </c>
      <c r="CA40">
        <v>10</v>
      </c>
      <c r="CB40" t="s">
        <v>97</v>
      </c>
      <c r="CC40" t="s">
        <v>86</v>
      </c>
    </row>
    <row r="41" spans="1:81">
      <c r="A41" t="s">
        <v>206</v>
      </c>
      <c r="B41" t="s">
        <v>207</v>
      </c>
      <c r="C41" t="s">
        <v>345</v>
      </c>
      <c r="D41" t="s">
        <v>83</v>
      </c>
      <c r="E41">
        <v>33</v>
      </c>
      <c r="F41" t="s">
        <v>128</v>
      </c>
      <c r="G41">
        <v>81.7</v>
      </c>
      <c r="H41">
        <v>178</v>
      </c>
      <c r="I41">
        <v>25.8</v>
      </c>
      <c r="J41">
        <v>86.4</v>
      </c>
      <c r="K41" t="s">
        <v>114</v>
      </c>
      <c r="L41" t="s">
        <v>87</v>
      </c>
      <c r="M41" t="s">
        <v>86</v>
      </c>
      <c r="N41" t="s">
        <v>86</v>
      </c>
      <c r="O41" t="s">
        <v>87</v>
      </c>
      <c r="P41" t="s">
        <v>157</v>
      </c>
      <c r="Q41">
        <v>10</v>
      </c>
      <c r="R41" t="s">
        <v>87</v>
      </c>
      <c r="S41" t="s">
        <v>86</v>
      </c>
      <c r="T41" t="s">
        <v>124</v>
      </c>
      <c r="U41">
        <v>122</v>
      </c>
      <c r="V41">
        <v>70</v>
      </c>
      <c r="W41">
        <v>87.3</v>
      </c>
      <c r="X41">
        <v>88</v>
      </c>
      <c r="Y41">
        <v>94</v>
      </c>
      <c r="Z41">
        <v>1169</v>
      </c>
      <c r="AA41">
        <v>1897</v>
      </c>
      <c r="AB41">
        <v>728</v>
      </c>
      <c r="AC41">
        <v>22112</v>
      </c>
      <c r="AD41">
        <v>19.8</v>
      </c>
      <c r="AE41">
        <v>3024</v>
      </c>
      <c r="AF41">
        <v>105.5</v>
      </c>
      <c r="AG41">
        <v>62</v>
      </c>
      <c r="AH41">
        <v>753</v>
      </c>
      <c r="AI41">
        <v>73.2</v>
      </c>
      <c r="AJ41">
        <v>5.8</v>
      </c>
      <c r="AK41">
        <v>6</v>
      </c>
      <c r="AL41">
        <v>124</v>
      </c>
      <c r="AM41">
        <v>38</v>
      </c>
      <c r="AN41">
        <v>184</v>
      </c>
      <c r="AO41">
        <v>110</v>
      </c>
      <c r="AP41">
        <v>91</v>
      </c>
      <c r="AQ41">
        <v>5.0999999999999996</v>
      </c>
      <c r="AR41">
        <v>137.19999999999999</v>
      </c>
      <c r="AS41">
        <v>5.2</v>
      </c>
      <c r="AT41">
        <v>60</v>
      </c>
      <c r="AU41">
        <v>85</v>
      </c>
      <c r="AV41">
        <v>35.4</v>
      </c>
      <c r="AW41">
        <v>2</v>
      </c>
      <c r="AX41">
        <v>14.7</v>
      </c>
      <c r="AY41">
        <v>6.1</v>
      </c>
      <c r="AZ41">
        <v>13.6</v>
      </c>
      <c r="BA41">
        <v>285</v>
      </c>
      <c r="BB41">
        <v>31</v>
      </c>
      <c r="BC41">
        <v>49</v>
      </c>
      <c r="BD41">
        <v>117</v>
      </c>
      <c r="BE41">
        <v>9.1</v>
      </c>
      <c r="BF41" t="s">
        <v>87</v>
      </c>
      <c r="BG41">
        <v>56</v>
      </c>
      <c r="BH41">
        <v>51</v>
      </c>
      <c r="BI41">
        <v>-11.8</v>
      </c>
      <c r="BJ41" t="s">
        <v>90</v>
      </c>
      <c r="BK41">
        <v>7</v>
      </c>
      <c r="BL41">
        <v>38</v>
      </c>
      <c r="BM41">
        <v>1.04</v>
      </c>
      <c r="BN41" t="s">
        <v>91</v>
      </c>
      <c r="BO41" t="s">
        <v>109</v>
      </c>
      <c r="BP41" t="s">
        <v>93</v>
      </c>
      <c r="BQ41" t="s">
        <v>103</v>
      </c>
      <c r="BR41">
        <v>1068</v>
      </c>
      <c r="BS41">
        <v>31.8</v>
      </c>
      <c r="BT41" t="s">
        <v>110</v>
      </c>
      <c r="BU41" t="s">
        <v>87</v>
      </c>
      <c r="BV41" t="s">
        <v>86</v>
      </c>
      <c r="BW41" t="s">
        <v>87</v>
      </c>
      <c r="BX41" t="s">
        <v>96</v>
      </c>
      <c r="BY41" t="s">
        <v>86</v>
      </c>
      <c r="BZ41" t="s">
        <v>86</v>
      </c>
      <c r="CA41">
        <v>12</v>
      </c>
      <c r="CB41" t="s">
        <v>97</v>
      </c>
      <c r="CC41" t="s">
        <v>87</v>
      </c>
    </row>
    <row r="42" spans="1:81">
      <c r="A42" t="s">
        <v>208</v>
      </c>
      <c r="B42" t="s">
        <v>209</v>
      </c>
      <c r="C42" t="s">
        <v>345</v>
      </c>
      <c r="D42" t="s">
        <v>83</v>
      </c>
      <c r="E42">
        <v>29</v>
      </c>
      <c r="F42" t="s">
        <v>167</v>
      </c>
      <c r="G42">
        <v>104.7</v>
      </c>
      <c r="H42">
        <v>162</v>
      </c>
      <c r="I42">
        <v>39.9</v>
      </c>
      <c r="J42">
        <v>114.4</v>
      </c>
      <c r="K42" t="s">
        <v>123</v>
      </c>
      <c r="L42" t="s">
        <v>86</v>
      </c>
      <c r="M42" t="s">
        <v>87</v>
      </c>
      <c r="N42" t="s">
        <v>86</v>
      </c>
      <c r="O42" t="s">
        <v>87</v>
      </c>
      <c r="P42" t="s">
        <v>134</v>
      </c>
      <c r="Q42">
        <v>0</v>
      </c>
      <c r="R42" t="s">
        <v>86</v>
      </c>
      <c r="S42" t="s">
        <v>87</v>
      </c>
      <c r="T42" t="s">
        <v>102</v>
      </c>
      <c r="U42">
        <v>165</v>
      </c>
      <c r="V42">
        <v>90</v>
      </c>
      <c r="W42">
        <v>115</v>
      </c>
      <c r="X42">
        <v>144</v>
      </c>
      <c r="Y42">
        <v>96</v>
      </c>
      <c r="Z42">
        <v>3522</v>
      </c>
      <c r="AA42">
        <v>3105</v>
      </c>
      <c r="AB42">
        <v>-417</v>
      </c>
      <c r="AC42">
        <v>7140</v>
      </c>
      <c r="AD42">
        <v>38.5</v>
      </c>
      <c r="AE42">
        <v>2775</v>
      </c>
      <c r="AF42">
        <v>32.799999999999997</v>
      </c>
      <c r="AG42">
        <v>60</v>
      </c>
      <c r="AH42">
        <v>405</v>
      </c>
      <c r="AI42">
        <v>39.700000000000003</v>
      </c>
      <c r="AJ42">
        <v>5.6</v>
      </c>
      <c r="AK42">
        <v>5.3</v>
      </c>
      <c r="AL42">
        <v>122</v>
      </c>
      <c r="AM42">
        <v>33.200000000000003</v>
      </c>
      <c r="AN42">
        <v>358</v>
      </c>
      <c r="AO42">
        <v>97</v>
      </c>
      <c r="AP42">
        <v>101</v>
      </c>
      <c r="AQ42">
        <v>9.1999999999999993</v>
      </c>
      <c r="AR42">
        <v>140.1</v>
      </c>
      <c r="AS42">
        <v>3.8</v>
      </c>
      <c r="AT42">
        <v>85</v>
      </c>
      <c r="AU42">
        <v>70</v>
      </c>
      <c r="AV42">
        <v>33.5</v>
      </c>
      <c r="AW42">
        <v>1.3</v>
      </c>
      <c r="AX42">
        <v>15.3</v>
      </c>
      <c r="AY42">
        <v>6.9</v>
      </c>
      <c r="AZ42">
        <v>13.1</v>
      </c>
      <c r="BA42">
        <v>94</v>
      </c>
      <c r="BB42">
        <v>42</v>
      </c>
      <c r="BC42">
        <v>57</v>
      </c>
      <c r="BD42">
        <v>148</v>
      </c>
      <c r="BE42">
        <v>19.2</v>
      </c>
      <c r="BF42" t="s">
        <v>86</v>
      </c>
      <c r="BG42">
        <v>52</v>
      </c>
      <c r="BH42">
        <v>37.700000000000003</v>
      </c>
      <c r="BI42">
        <v>-9.8000000000000007</v>
      </c>
      <c r="BJ42" t="s">
        <v>90</v>
      </c>
      <c r="BK42">
        <v>0</v>
      </c>
      <c r="BL42">
        <v>7</v>
      </c>
      <c r="BM42">
        <v>0.92</v>
      </c>
      <c r="BN42" t="s">
        <v>96</v>
      </c>
      <c r="BO42" t="s">
        <v>92</v>
      </c>
      <c r="BP42" t="s">
        <v>130</v>
      </c>
      <c r="BQ42" t="s">
        <v>94</v>
      </c>
      <c r="BR42">
        <v>1051</v>
      </c>
      <c r="BS42">
        <v>34.6</v>
      </c>
      <c r="BT42" t="s">
        <v>95</v>
      </c>
      <c r="BU42" t="s">
        <v>87</v>
      </c>
      <c r="BV42" t="s">
        <v>86</v>
      </c>
      <c r="BW42" t="s">
        <v>87</v>
      </c>
      <c r="BX42" t="s">
        <v>96</v>
      </c>
      <c r="BY42" t="s">
        <v>86</v>
      </c>
      <c r="BZ42" t="s">
        <v>86</v>
      </c>
      <c r="CA42">
        <v>16</v>
      </c>
      <c r="CB42" t="s">
        <v>97</v>
      </c>
      <c r="CC42" t="s">
        <v>87</v>
      </c>
    </row>
    <row r="43" spans="1:81">
      <c r="A43" t="s">
        <v>210</v>
      </c>
      <c r="B43" t="s">
        <v>211</v>
      </c>
      <c r="C43" t="s">
        <v>345</v>
      </c>
      <c r="D43" t="s">
        <v>83</v>
      </c>
      <c r="E43">
        <v>56</v>
      </c>
      <c r="F43" t="s">
        <v>167</v>
      </c>
      <c r="G43">
        <v>91.4</v>
      </c>
      <c r="H43">
        <v>185</v>
      </c>
      <c r="I43">
        <v>26.7</v>
      </c>
      <c r="J43">
        <v>95.5</v>
      </c>
      <c r="K43" t="s">
        <v>114</v>
      </c>
      <c r="L43" t="s">
        <v>87</v>
      </c>
      <c r="M43" t="s">
        <v>87</v>
      </c>
      <c r="N43" t="s">
        <v>86</v>
      </c>
      <c r="O43" t="s">
        <v>87</v>
      </c>
      <c r="P43" t="s">
        <v>108</v>
      </c>
      <c r="Q43">
        <v>22</v>
      </c>
      <c r="R43" t="s">
        <v>87</v>
      </c>
      <c r="S43" t="s">
        <v>87</v>
      </c>
      <c r="T43" t="s">
        <v>89</v>
      </c>
      <c r="U43">
        <v>78</v>
      </c>
      <c r="V43">
        <v>78</v>
      </c>
      <c r="W43">
        <v>78</v>
      </c>
      <c r="X43">
        <v>114</v>
      </c>
      <c r="Y43">
        <v>93</v>
      </c>
      <c r="Z43">
        <v>967</v>
      </c>
      <c r="AA43">
        <v>1723</v>
      </c>
      <c r="AB43">
        <v>756</v>
      </c>
      <c r="AC43">
        <v>6702</v>
      </c>
      <c r="AD43">
        <v>19.8</v>
      </c>
      <c r="AE43">
        <v>4162</v>
      </c>
      <c r="AF43">
        <v>72.8</v>
      </c>
      <c r="AG43">
        <v>84</v>
      </c>
      <c r="AH43">
        <v>1057</v>
      </c>
      <c r="AI43">
        <v>38.799999999999997</v>
      </c>
      <c r="AJ43">
        <v>6</v>
      </c>
      <c r="AK43">
        <v>5.3</v>
      </c>
      <c r="AL43">
        <v>162</v>
      </c>
      <c r="AM43">
        <v>59</v>
      </c>
      <c r="AN43">
        <v>90</v>
      </c>
      <c r="AO43">
        <v>125</v>
      </c>
      <c r="AP43">
        <v>64</v>
      </c>
      <c r="AQ43">
        <v>7</v>
      </c>
      <c r="AR43">
        <v>135.69999999999999</v>
      </c>
      <c r="AS43">
        <v>4.2</v>
      </c>
      <c r="AT43">
        <v>58</v>
      </c>
      <c r="AU43">
        <v>121</v>
      </c>
      <c r="AV43">
        <v>33.9</v>
      </c>
      <c r="AW43">
        <v>1.8</v>
      </c>
      <c r="AX43">
        <v>13.9</v>
      </c>
      <c r="AY43">
        <v>8.3000000000000007</v>
      </c>
      <c r="AZ43">
        <v>13.4</v>
      </c>
      <c r="BA43">
        <v>111</v>
      </c>
      <c r="BB43">
        <v>24</v>
      </c>
      <c r="BC43">
        <v>70</v>
      </c>
      <c r="BD43">
        <v>151</v>
      </c>
      <c r="BE43">
        <v>23.8</v>
      </c>
      <c r="BF43" t="s">
        <v>87</v>
      </c>
      <c r="BG43">
        <v>69</v>
      </c>
      <c r="BH43">
        <v>47.1</v>
      </c>
      <c r="BI43">
        <v>-6</v>
      </c>
      <c r="BJ43" t="s">
        <v>115</v>
      </c>
      <c r="BK43">
        <v>207</v>
      </c>
      <c r="BL43">
        <v>18</v>
      </c>
      <c r="BM43">
        <v>0.92</v>
      </c>
      <c r="BN43" t="s">
        <v>96</v>
      </c>
      <c r="BO43" t="s">
        <v>109</v>
      </c>
      <c r="BP43" t="s">
        <v>130</v>
      </c>
      <c r="BQ43" t="s">
        <v>103</v>
      </c>
      <c r="BR43">
        <v>1019</v>
      </c>
      <c r="BS43">
        <v>35.6</v>
      </c>
      <c r="BT43" t="s">
        <v>110</v>
      </c>
      <c r="BU43" t="s">
        <v>86</v>
      </c>
      <c r="BV43" t="s">
        <v>86</v>
      </c>
      <c r="BW43" t="s">
        <v>86</v>
      </c>
      <c r="BX43" t="s">
        <v>96</v>
      </c>
      <c r="BY43" t="s">
        <v>87</v>
      </c>
      <c r="BZ43" t="s">
        <v>86</v>
      </c>
      <c r="CA43">
        <v>9</v>
      </c>
      <c r="CB43" t="s">
        <v>97</v>
      </c>
      <c r="CC43" t="s">
        <v>86</v>
      </c>
    </row>
    <row r="44" spans="1:81">
      <c r="A44" t="s">
        <v>212</v>
      </c>
      <c r="B44" t="s">
        <v>213</v>
      </c>
      <c r="C44" t="s">
        <v>345</v>
      </c>
      <c r="D44" t="s">
        <v>83</v>
      </c>
      <c r="E44">
        <v>57</v>
      </c>
      <c r="F44" t="s">
        <v>84</v>
      </c>
      <c r="G44">
        <v>103.3</v>
      </c>
      <c r="H44">
        <v>182</v>
      </c>
      <c r="I44">
        <v>31.2</v>
      </c>
      <c r="J44">
        <v>100</v>
      </c>
      <c r="K44" t="s">
        <v>100</v>
      </c>
      <c r="L44" t="s">
        <v>86</v>
      </c>
      <c r="M44" t="s">
        <v>87</v>
      </c>
      <c r="N44" t="s">
        <v>86</v>
      </c>
      <c r="O44" t="s">
        <v>87</v>
      </c>
      <c r="P44" t="s">
        <v>108</v>
      </c>
      <c r="Q44">
        <v>28</v>
      </c>
      <c r="R44" t="s">
        <v>87</v>
      </c>
      <c r="S44" t="s">
        <v>87</v>
      </c>
      <c r="T44" t="s">
        <v>102</v>
      </c>
      <c r="U44">
        <v>144</v>
      </c>
      <c r="V44">
        <v>121</v>
      </c>
      <c r="W44">
        <v>128.69999999999999</v>
      </c>
      <c r="X44">
        <v>145</v>
      </c>
      <c r="Y44">
        <v>99</v>
      </c>
      <c r="Z44">
        <v>2129</v>
      </c>
      <c r="AA44">
        <v>2156</v>
      </c>
      <c r="AB44">
        <v>27</v>
      </c>
      <c r="AC44">
        <v>15313</v>
      </c>
      <c r="AD44">
        <v>21.2</v>
      </c>
      <c r="AE44">
        <v>3339</v>
      </c>
      <c r="AF44">
        <v>84.7</v>
      </c>
      <c r="AG44">
        <v>65</v>
      </c>
      <c r="AH44">
        <v>616</v>
      </c>
      <c r="AI44">
        <v>13.1</v>
      </c>
      <c r="AJ44">
        <v>5.5</v>
      </c>
      <c r="AK44">
        <v>6.4</v>
      </c>
      <c r="AL44">
        <v>122</v>
      </c>
      <c r="AM44">
        <v>42.1</v>
      </c>
      <c r="AN44">
        <v>171</v>
      </c>
      <c r="AO44">
        <v>116</v>
      </c>
      <c r="AP44">
        <v>77</v>
      </c>
      <c r="AQ44">
        <v>4.0999999999999996</v>
      </c>
      <c r="AR44">
        <v>134.1</v>
      </c>
      <c r="AS44">
        <v>3.6</v>
      </c>
      <c r="AT44">
        <v>40</v>
      </c>
      <c r="AU44">
        <v>83</v>
      </c>
      <c r="AV44">
        <v>39.700000000000003</v>
      </c>
      <c r="AW44">
        <v>0.9</v>
      </c>
      <c r="AX44">
        <v>13.6</v>
      </c>
      <c r="AY44">
        <v>6.6</v>
      </c>
      <c r="AZ44">
        <v>16.2</v>
      </c>
      <c r="BA44">
        <v>432</v>
      </c>
      <c r="BB44">
        <v>26</v>
      </c>
      <c r="BC44">
        <v>49</v>
      </c>
      <c r="BD44">
        <v>113</v>
      </c>
      <c r="BE44">
        <v>14</v>
      </c>
      <c r="BF44" t="s">
        <v>86</v>
      </c>
      <c r="BG44">
        <v>67</v>
      </c>
      <c r="BH44">
        <v>25.5</v>
      </c>
      <c r="BI44">
        <v>-11.5</v>
      </c>
      <c r="BJ44" t="s">
        <v>90</v>
      </c>
      <c r="BK44">
        <v>303</v>
      </c>
      <c r="BL44">
        <v>38</v>
      </c>
      <c r="BM44">
        <v>1.19</v>
      </c>
      <c r="BN44" t="s">
        <v>96</v>
      </c>
      <c r="BO44" t="s">
        <v>92</v>
      </c>
      <c r="BP44" t="s">
        <v>93</v>
      </c>
      <c r="BQ44" t="s">
        <v>94</v>
      </c>
      <c r="BR44">
        <v>1045</v>
      </c>
      <c r="BS44">
        <v>25.5</v>
      </c>
      <c r="BT44" t="s">
        <v>110</v>
      </c>
      <c r="BU44" t="s">
        <v>87</v>
      </c>
      <c r="BV44" t="s">
        <v>87</v>
      </c>
      <c r="BW44" t="s">
        <v>86</v>
      </c>
      <c r="BX44" t="s">
        <v>96</v>
      </c>
      <c r="BY44" t="s">
        <v>86</v>
      </c>
      <c r="BZ44" t="s">
        <v>86</v>
      </c>
      <c r="CA44">
        <v>17</v>
      </c>
      <c r="CB44" t="s">
        <v>97</v>
      </c>
      <c r="CC44" t="s">
        <v>87</v>
      </c>
    </row>
    <row r="45" spans="1:81">
      <c r="A45" t="s">
        <v>214</v>
      </c>
      <c r="B45" t="s">
        <v>215</v>
      </c>
      <c r="C45" t="s">
        <v>345</v>
      </c>
      <c r="D45" t="s">
        <v>83</v>
      </c>
      <c r="E45">
        <v>51</v>
      </c>
      <c r="F45" t="s">
        <v>84</v>
      </c>
      <c r="G45">
        <v>110.7</v>
      </c>
      <c r="H45">
        <v>181</v>
      </c>
      <c r="I45">
        <v>33.799999999999997</v>
      </c>
      <c r="J45">
        <v>104.3</v>
      </c>
      <c r="K45" t="s">
        <v>100</v>
      </c>
      <c r="L45" t="s">
        <v>87</v>
      </c>
      <c r="M45" t="s">
        <v>87</v>
      </c>
      <c r="N45" t="s">
        <v>87</v>
      </c>
      <c r="O45" t="s">
        <v>86</v>
      </c>
      <c r="P45" t="s">
        <v>108</v>
      </c>
      <c r="Q45">
        <v>21</v>
      </c>
      <c r="R45" t="s">
        <v>86</v>
      </c>
      <c r="S45" t="s">
        <v>87</v>
      </c>
      <c r="T45" t="s">
        <v>124</v>
      </c>
      <c r="U45">
        <v>100</v>
      </c>
      <c r="V45">
        <v>63</v>
      </c>
      <c r="W45">
        <v>75.3</v>
      </c>
      <c r="X45">
        <v>113</v>
      </c>
      <c r="Y45">
        <v>99</v>
      </c>
      <c r="Z45">
        <v>5143</v>
      </c>
      <c r="AA45">
        <v>9091</v>
      </c>
      <c r="AB45">
        <v>3948</v>
      </c>
      <c r="AC45">
        <v>4577</v>
      </c>
      <c r="AD45">
        <v>35.4</v>
      </c>
      <c r="AE45">
        <v>3887</v>
      </c>
      <c r="AF45">
        <v>90.5</v>
      </c>
      <c r="AG45">
        <v>70</v>
      </c>
      <c r="AH45">
        <v>1193</v>
      </c>
      <c r="AI45">
        <v>27.9</v>
      </c>
      <c r="AJ45">
        <v>7.1</v>
      </c>
      <c r="AK45">
        <v>14</v>
      </c>
      <c r="AL45">
        <v>95</v>
      </c>
      <c r="AM45">
        <v>27.9</v>
      </c>
      <c r="AN45">
        <v>312</v>
      </c>
      <c r="AO45">
        <v>117</v>
      </c>
      <c r="AP45">
        <v>66</v>
      </c>
      <c r="AQ45">
        <v>8.6</v>
      </c>
      <c r="AR45">
        <v>131.80000000000001</v>
      </c>
      <c r="AS45">
        <v>4.5999999999999996</v>
      </c>
      <c r="AT45">
        <v>48</v>
      </c>
      <c r="AU45">
        <v>48</v>
      </c>
      <c r="AV45">
        <v>36.6</v>
      </c>
      <c r="AW45">
        <v>1.3</v>
      </c>
      <c r="AX45">
        <v>13.2</v>
      </c>
      <c r="AY45">
        <v>8.1999999999999993</v>
      </c>
      <c r="AZ45">
        <v>13.8</v>
      </c>
      <c r="BA45">
        <v>313</v>
      </c>
      <c r="BB45">
        <v>36</v>
      </c>
      <c r="BC45">
        <v>67</v>
      </c>
      <c r="BD45">
        <v>126</v>
      </c>
      <c r="BE45">
        <v>26</v>
      </c>
      <c r="BF45" t="s">
        <v>86</v>
      </c>
      <c r="BG45">
        <v>47</v>
      </c>
      <c r="BH45">
        <v>41.1</v>
      </c>
      <c r="BI45">
        <v>-10.199999999999999</v>
      </c>
      <c r="BJ45" t="s">
        <v>162</v>
      </c>
      <c r="BK45">
        <v>1683</v>
      </c>
      <c r="BL45">
        <v>52</v>
      </c>
      <c r="BM45">
        <v>0.76</v>
      </c>
      <c r="BN45" t="s">
        <v>135</v>
      </c>
      <c r="BO45" t="s">
        <v>92</v>
      </c>
      <c r="BP45" t="s">
        <v>93</v>
      </c>
      <c r="BQ45" t="s">
        <v>94</v>
      </c>
      <c r="BR45">
        <v>1074</v>
      </c>
      <c r="BS45">
        <v>25</v>
      </c>
      <c r="BT45" t="s">
        <v>153</v>
      </c>
      <c r="BU45" t="s">
        <v>87</v>
      </c>
      <c r="BV45" t="s">
        <v>86</v>
      </c>
      <c r="BW45" t="s">
        <v>87</v>
      </c>
      <c r="BX45" t="s">
        <v>96</v>
      </c>
      <c r="BY45" t="s">
        <v>86</v>
      </c>
      <c r="BZ45" t="s">
        <v>86</v>
      </c>
      <c r="CA45">
        <v>13</v>
      </c>
      <c r="CB45" t="s">
        <v>97</v>
      </c>
      <c r="CC45" t="s">
        <v>87</v>
      </c>
    </row>
    <row r="46" spans="1:81">
      <c r="A46" t="s">
        <v>216</v>
      </c>
      <c r="B46" t="s">
        <v>217</v>
      </c>
      <c r="C46" t="s">
        <v>345</v>
      </c>
      <c r="D46" t="s">
        <v>83</v>
      </c>
      <c r="E46">
        <v>50</v>
      </c>
      <c r="F46" t="s">
        <v>113</v>
      </c>
      <c r="G46">
        <v>123.4</v>
      </c>
      <c r="H46">
        <v>170</v>
      </c>
      <c r="I46">
        <v>42.7</v>
      </c>
      <c r="J46">
        <v>122.1</v>
      </c>
      <c r="K46" t="s">
        <v>85</v>
      </c>
      <c r="L46" t="s">
        <v>86</v>
      </c>
      <c r="M46" t="s">
        <v>87</v>
      </c>
      <c r="N46" t="s">
        <v>87</v>
      </c>
      <c r="O46" t="s">
        <v>87</v>
      </c>
      <c r="P46" t="s">
        <v>88</v>
      </c>
      <c r="Q46">
        <v>4</v>
      </c>
      <c r="R46" t="s">
        <v>86</v>
      </c>
      <c r="S46" t="s">
        <v>86</v>
      </c>
      <c r="T46" t="s">
        <v>124</v>
      </c>
      <c r="U46">
        <v>139</v>
      </c>
      <c r="V46">
        <v>65</v>
      </c>
      <c r="W46">
        <v>89.7</v>
      </c>
      <c r="X46">
        <v>114</v>
      </c>
      <c r="Y46">
        <v>93</v>
      </c>
      <c r="Z46">
        <v>2030</v>
      </c>
      <c r="AA46">
        <v>3096</v>
      </c>
      <c r="AB46">
        <v>1066</v>
      </c>
      <c r="AC46">
        <v>16865</v>
      </c>
      <c r="AD46">
        <v>36.1</v>
      </c>
      <c r="AE46">
        <v>1407</v>
      </c>
      <c r="AF46">
        <v>34</v>
      </c>
      <c r="AG46">
        <v>46</v>
      </c>
      <c r="AH46">
        <v>617</v>
      </c>
      <c r="AI46">
        <v>36</v>
      </c>
      <c r="AJ46">
        <v>10</v>
      </c>
      <c r="AK46">
        <v>11</v>
      </c>
      <c r="AL46">
        <v>107</v>
      </c>
      <c r="AM46">
        <v>37.5</v>
      </c>
      <c r="AN46">
        <v>343</v>
      </c>
      <c r="AO46">
        <v>149</v>
      </c>
      <c r="AP46">
        <v>66</v>
      </c>
      <c r="AQ46">
        <v>7.9</v>
      </c>
      <c r="AR46">
        <v>135.69999999999999</v>
      </c>
      <c r="AS46">
        <v>4</v>
      </c>
      <c r="AT46">
        <v>23</v>
      </c>
      <c r="AU46">
        <v>89</v>
      </c>
      <c r="AV46">
        <v>37.200000000000003</v>
      </c>
      <c r="AW46">
        <v>2.2000000000000002</v>
      </c>
      <c r="AX46">
        <v>14.2</v>
      </c>
      <c r="AY46">
        <v>4.8</v>
      </c>
      <c r="AZ46">
        <v>15.7</v>
      </c>
      <c r="BA46">
        <v>243</v>
      </c>
      <c r="BB46">
        <v>18</v>
      </c>
      <c r="BC46">
        <v>66</v>
      </c>
      <c r="BD46">
        <v>152</v>
      </c>
      <c r="BE46">
        <v>10.4</v>
      </c>
      <c r="BF46" t="s">
        <v>86</v>
      </c>
      <c r="BG46">
        <v>26</v>
      </c>
      <c r="BH46">
        <v>55.4</v>
      </c>
      <c r="BI46">
        <v>-9.4</v>
      </c>
      <c r="BJ46" t="s">
        <v>90</v>
      </c>
      <c r="BK46">
        <v>287</v>
      </c>
      <c r="BL46">
        <v>9</v>
      </c>
      <c r="BM46">
        <v>0.97</v>
      </c>
      <c r="BN46" t="s">
        <v>91</v>
      </c>
      <c r="BO46" t="s">
        <v>92</v>
      </c>
      <c r="BP46" t="s">
        <v>93</v>
      </c>
      <c r="BQ46" t="s">
        <v>94</v>
      </c>
      <c r="BR46">
        <v>1138</v>
      </c>
      <c r="BS46">
        <v>38.700000000000003</v>
      </c>
      <c r="BT46" t="s">
        <v>110</v>
      </c>
      <c r="BU46" t="s">
        <v>87</v>
      </c>
      <c r="BV46" t="s">
        <v>86</v>
      </c>
      <c r="BW46" t="s">
        <v>87</v>
      </c>
      <c r="BX46" t="s">
        <v>96</v>
      </c>
      <c r="BY46" t="s">
        <v>86</v>
      </c>
      <c r="BZ46" t="s">
        <v>86</v>
      </c>
      <c r="CA46">
        <v>10</v>
      </c>
      <c r="CB46" t="s">
        <v>120</v>
      </c>
      <c r="CC46" t="s">
        <v>87</v>
      </c>
    </row>
    <row r="47" spans="1:81">
      <c r="A47" t="s">
        <v>218</v>
      </c>
      <c r="B47" t="s">
        <v>219</v>
      </c>
      <c r="C47" t="s">
        <v>345</v>
      </c>
      <c r="D47" t="s">
        <v>83</v>
      </c>
      <c r="E47">
        <v>28</v>
      </c>
      <c r="F47" t="s">
        <v>84</v>
      </c>
      <c r="G47">
        <v>111.2</v>
      </c>
      <c r="H47">
        <v>183</v>
      </c>
      <c r="I47">
        <v>33.200000000000003</v>
      </c>
      <c r="J47">
        <v>107.4</v>
      </c>
      <c r="K47" t="s">
        <v>100</v>
      </c>
      <c r="L47" t="s">
        <v>86</v>
      </c>
      <c r="M47" t="s">
        <v>87</v>
      </c>
      <c r="N47" t="s">
        <v>86</v>
      </c>
      <c r="O47" t="s">
        <v>87</v>
      </c>
      <c r="P47" t="s">
        <v>108</v>
      </c>
      <c r="Q47">
        <v>29</v>
      </c>
      <c r="R47" t="s">
        <v>86</v>
      </c>
      <c r="S47" t="s">
        <v>87</v>
      </c>
      <c r="T47" t="s">
        <v>89</v>
      </c>
      <c r="U47">
        <v>74</v>
      </c>
      <c r="V47">
        <v>77</v>
      </c>
      <c r="W47">
        <v>76</v>
      </c>
      <c r="X47">
        <v>82</v>
      </c>
      <c r="Y47">
        <v>96</v>
      </c>
      <c r="Z47">
        <v>781</v>
      </c>
      <c r="AA47">
        <v>1227</v>
      </c>
      <c r="AB47">
        <v>446</v>
      </c>
      <c r="AC47">
        <v>9120</v>
      </c>
      <c r="AD47">
        <v>33.200000000000003</v>
      </c>
      <c r="AE47">
        <v>1033</v>
      </c>
      <c r="AF47">
        <v>46.7</v>
      </c>
      <c r="AG47">
        <v>65</v>
      </c>
      <c r="AH47">
        <v>517</v>
      </c>
      <c r="AI47">
        <v>10.1</v>
      </c>
      <c r="AJ47">
        <v>5.7</v>
      </c>
      <c r="AK47">
        <v>6</v>
      </c>
      <c r="AL47">
        <v>196</v>
      </c>
      <c r="AM47">
        <v>35.5</v>
      </c>
      <c r="AN47">
        <v>151</v>
      </c>
      <c r="AO47">
        <v>157</v>
      </c>
      <c r="AP47">
        <v>58</v>
      </c>
      <c r="AQ47">
        <v>7.2</v>
      </c>
      <c r="AR47">
        <v>138.19999999999999</v>
      </c>
      <c r="AS47">
        <v>4.5</v>
      </c>
      <c r="AT47">
        <v>83</v>
      </c>
      <c r="AU47">
        <v>93</v>
      </c>
      <c r="AV47">
        <v>38.799999999999997</v>
      </c>
      <c r="AW47">
        <v>2.2000000000000002</v>
      </c>
      <c r="AX47">
        <v>9.3000000000000007</v>
      </c>
      <c r="AY47">
        <v>5.7</v>
      </c>
      <c r="AZ47">
        <v>13.9</v>
      </c>
      <c r="BA47">
        <v>335</v>
      </c>
      <c r="BB47">
        <v>30</v>
      </c>
      <c r="BC47">
        <v>71</v>
      </c>
      <c r="BD47">
        <v>146</v>
      </c>
      <c r="BE47">
        <v>21.9</v>
      </c>
      <c r="BF47" t="s">
        <v>86</v>
      </c>
      <c r="BG47">
        <v>22</v>
      </c>
      <c r="BH47">
        <v>45</v>
      </c>
      <c r="BI47">
        <v>-9.1999999999999993</v>
      </c>
      <c r="BJ47" t="s">
        <v>90</v>
      </c>
      <c r="BK47">
        <v>22</v>
      </c>
      <c r="BL47">
        <v>24</v>
      </c>
      <c r="BM47">
        <v>1.18</v>
      </c>
      <c r="BN47" t="s">
        <v>135</v>
      </c>
      <c r="BO47" t="s">
        <v>92</v>
      </c>
      <c r="BP47" t="s">
        <v>93</v>
      </c>
      <c r="BQ47" t="s">
        <v>94</v>
      </c>
      <c r="BR47">
        <v>1132</v>
      </c>
      <c r="BS47">
        <v>25.8</v>
      </c>
      <c r="BT47" t="s">
        <v>110</v>
      </c>
      <c r="BU47" t="s">
        <v>86</v>
      </c>
      <c r="BV47" t="s">
        <v>86</v>
      </c>
      <c r="BW47" t="s">
        <v>86</v>
      </c>
      <c r="BX47" t="s">
        <v>96</v>
      </c>
      <c r="BY47" t="s">
        <v>86</v>
      </c>
      <c r="BZ47" t="s">
        <v>86</v>
      </c>
      <c r="CA47">
        <v>7</v>
      </c>
      <c r="CB47" t="s">
        <v>97</v>
      </c>
      <c r="CC47" t="s">
        <v>86</v>
      </c>
    </row>
    <row r="48" spans="1:81">
      <c r="A48" t="s">
        <v>220</v>
      </c>
      <c r="B48" t="s">
        <v>221</v>
      </c>
      <c r="C48" t="s">
        <v>345</v>
      </c>
      <c r="D48" t="s">
        <v>83</v>
      </c>
      <c r="E48">
        <v>53</v>
      </c>
      <c r="F48" t="s">
        <v>107</v>
      </c>
      <c r="G48">
        <v>89.6</v>
      </c>
      <c r="H48">
        <v>172</v>
      </c>
      <c r="I48">
        <v>30.3</v>
      </c>
      <c r="J48">
        <v>100.8</v>
      </c>
      <c r="K48" t="s">
        <v>100</v>
      </c>
      <c r="L48" t="s">
        <v>87</v>
      </c>
      <c r="M48" t="s">
        <v>87</v>
      </c>
      <c r="N48" t="s">
        <v>86</v>
      </c>
      <c r="O48" t="s">
        <v>86</v>
      </c>
      <c r="P48" t="s">
        <v>129</v>
      </c>
      <c r="Q48">
        <v>13</v>
      </c>
      <c r="R48" t="s">
        <v>86</v>
      </c>
      <c r="S48" t="s">
        <v>87</v>
      </c>
      <c r="T48" t="s">
        <v>89</v>
      </c>
      <c r="U48">
        <v>122</v>
      </c>
      <c r="V48">
        <v>84</v>
      </c>
      <c r="W48">
        <v>96.7</v>
      </c>
      <c r="X48">
        <v>124</v>
      </c>
      <c r="Y48">
        <v>90</v>
      </c>
      <c r="Z48">
        <v>2733</v>
      </c>
      <c r="AA48">
        <v>3003</v>
      </c>
      <c r="AB48">
        <v>270</v>
      </c>
      <c r="AC48">
        <v>7378</v>
      </c>
      <c r="AD48">
        <v>24.2</v>
      </c>
      <c r="AE48">
        <v>3356</v>
      </c>
      <c r="AF48">
        <v>18.8</v>
      </c>
      <c r="AG48">
        <v>54</v>
      </c>
      <c r="AH48">
        <v>724</v>
      </c>
      <c r="AI48">
        <v>41</v>
      </c>
      <c r="AJ48">
        <v>5.9</v>
      </c>
      <c r="AK48">
        <v>6.1</v>
      </c>
      <c r="AL48">
        <v>158</v>
      </c>
      <c r="AM48">
        <v>47.6</v>
      </c>
      <c r="AN48">
        <v>330</v>
      </c>
      <c r="AO48">
        <v>156</v>
      </c>
      <c r="AP48">
        <v>56</v>
      </c>
      <c r="AQ48">
        <v>9.1</v>
      </c>
      <c r="AR48">
        <v>140.1</v>
      </c>
      <c r="AS48">
        <v>4.7</v>
      </c>
      <c r="AT48">
        <v>70</v>
      </c>
      <c r="AU48">
        <v>43</v>
      </c>
      <c r="AV48">
        <v>40.9</v>
      </c>
      <c r="AW48">
        <v>3.3</v>
      </c>
      <c r="AX48">
        <v>4</v>
      </c>
      <c r="AY48">
        <v>3.7</v>
      </c>
      <c r="AZ48">
        <v>14</v>
      </c>
      <c r="BA48">
        <v>204</v>
      </c>
      <c r="BB48">
        <v>23</v>
      </c>
      <c r="BC48">
        <v>43</v>
      </c>
      <c r="BD48">
        <v>169</v>
      </c>
      <c r="BE48">
        <v>9.8000000000000007</v>
      </c>
      <c r="BF48" t="s">
        <v>87</v>
      </c>
      <c r="BG48">
        <v>66</v>
      </c>
      <c r="BH48">
        <v>41.8</v>
      </c>
      <c r="BI48">
        <v>-12.3</v>
      </c>
      <c r="BJ48" t="s">
        <v>90</v>
      </c>
      <c r="BK48">
        <v>108</v>
      </c>
      <c r="BL48">
        <v>45</v>
      </c>
      <c r="BM48">
        <v>1.1399999999999999</v>
      </c>
      <c r="BN48" t="s">
        <v>96</v>
      </c>
      <c r="BO48" t="s">
        <v>92</v>
      </c>
      <c r="BP48" t="s">
        <v>93</v>
      </c>
      <c r="BQ48" t="s">
        <v>94</v>
      </c>
      <c r="BR48">
        <v>1094</v>
      </c>
      <c r="BS48">
        <v>25.1</v>
      </c>
      <c r="BT48" t="s">
        <v>143</v>
      </c>
      <c r="BU48" t="s">
        <v>87</v>
      </c>
      <c r="BV48" t="s">
        <v>86</v>
      </c>
      <c r="BW48" t="s">
        <v>87</v>
      </c>
      <c r="BX48" t="s">
        <v>96</v>
      </c>
      <c r="BY48" t="s">
        <v>86</v>
      </c>
      <c r="BZ48" t="s">
        <v>86</v>
      </c>
      <c r="CA48">
        <v>12</v>
      </c>
      <c r="CB48" t="s">
        <v>97</v>
      </c>
      <c r="CC48" t="s">
        <v>87</v>
      </c>
    </row>
    <row r="49" spans="1:81">
      <c r="A49" t="s">
        <v>222</v>
      </c>
      <c r="B49" t="s">
        <v>223</v>
      </c>
      <c r="C49" t="s">
        <v>345</v>
      </c>
      <c r="D49" t="s">
        <v>83</v>
      </c>
      <c r="E49">
        <v>56</v>
      </c>
      <c r="F49" t="s">
        <v>84</v>
      </c>
      <c r="G49">
        <v>134.80000000000001</v>
      </c>
      <c r="H49">
        <v>182</v>
      </c>
      <c r="I49">
        <v>40.700000000000003</v>
      </c>
      <c r="J49">
        <v>118.7</v>
      </c>
      <c r="K49" t="s">
        <v>85</v>
      </c>
      <c r="L49" t="s">
        <v>86</v>
      </c>
      <c r="M49" t="s">
        <v>87</v>
      </c>
      <c r="N49" t="s">
        <v>87</v>
      </c>
      <c r="O49" t="s">
        <v>87</v>
      </c>
      <c r="P49" t="s">
        <v>88</v>
      </c>
      <c r="Q49">
        <v>27</v>
      </c>
      <c r="R49" t="s">
        <v>87</v>
      </c>
      <c r="S49" t="s">
        <v>86</v>
      </c>
      <c r="T49" t="s">
        <v>89</v>
      </c>
      <c r="U49">
        <v>120</v>
      </c>
      <c r="V49">
        <v>64</v>
      </c>
      <c r="W49">
        <v>82.7</v>
      </c>
      <c r="X49">
        <v>103</v>
      </c>
      <c r="Y49">
        <v>91</v>
      </c>
      <c r="Z49">
        <v>325</v>
      </c>
      <c r="AA49">
        <v>323</v>
      </c>
      <c r="AB49">
        <v>-2</v>
      </c>
      <c r="AC49">
        <v>14736</v>
      </c>
      <c r="AD49">
        <v>26.9</v>
      </c>
      <c r="AE49">
        <v>5265</v>
      </c>
      <c r="AF49">
        <v>131.69999999999999</v>
      </c>
      <c r="AG49">
        <v>61</v>
      </c>
      <c r="AH49">
        <v>1185</v>
      </c>
      <c r="AI49">
        <v>22.4</v>
      </c>
      <c r="AJ49">
        <v>7.5</v>
      </c>
      <c r="AK49">
        <v>10.199999999999999</v>
      </c>
      <c r="AL49">
        <v>185</v>
      </c>
      <c r="AM49">
        <v>33.299999999999997</v>
      </c>
      <c r="AN49">
        <v>394</v>
      </c>
      <c r="AO49">
        <v>152</v>
      </c>
      <c r="AP49">
        <v>61</v>
      </c>
      <c r="AQ49">
        <v>8.5</v>
      </c>
      <c r="AR49">
        <v>138.6</v>
      </c>
      <c r="AS49">
        <v>3.8</v>
      </c>
      <c r="AT49">
        <v>35</v>
      </c>
      <c r="AU49">
        <v>15</v>
      </c>
      <c r="AV49">
        <v>30.6</v>
      </c>
      <c r="AW49">
        <v>2.6</v>
      </c>
      <c r="AX49">
        <v>11.4</v>
      </c>
      <c r="AY49">
        <v>8.9</v>
      </c>
      <c r="AZ49">
        <v>13.4</v>
      </c>
      <c r="BA49">
        <v>283</v>
      </c>
      <c r="BB49">
        <v>25</v>
      </c>
      <c r="BC49">
        <v>63</v>
      </c>
      <c r="BD49">
        <v>179</v>
      </c>
      <c r="BE49">
        <v>23</v>
      </c>
      <c r="BF49" t="s">
        <v>86</v>
      </c>
      <c r="BG49">
        <v>22</v>
      </c>
      <c r="BH49">
        <v>72.400000000000006</v>
      </c>
      <c r="BI49">
        <v>-15.5</v>
      </c>
      <c r="BJ49" t="s">
        <v>115</v>
      </c>
      <c r="BK49">
        <v>453</v>
      </c>
      <c r="BL49">
        <v>25</v>
      </c>
      <c r="BM49">
        <v>0.91</v>
      </c>
      <c r="BN49" t="s">
        <v>119</v>
      </c>
      <c r="BO49" t="s">
        <v>92</v>
      </c>
      <c r="BP49" t="s">
        <v>224</v>
      </c>
      <c r="BQ49" t="s">
        <v>94</v>
      </c>
      <c r="BR49">
        <v>1070</v>
      </c>
      <c r="BS49">
        <v>37.1</v>
      </c>
      <c r="BT49" t="s">
        <v>143</v>
      </c>
      <c r="BU49" t="s">
        <v>87</v>
      </c>
      <c r="BV49" t="s">
        <v>86</v>
      </c>
      <c r="BW49" t="s">
        <v>86</v>
      </c>
      <c r="BX49" t="s">
        <v>96</v>
      </c>
      <c r="BY49" t="s">
        <v>87</v>
      </c>
      <c r="BZ49" t="s">
        <v>86</v>
      </c>
      <c r="CA49">
        <v>13</v>
      </c>
      <c r="CB49" t="s">
        <v>104</v>
      </c>
      <c r="CC49" t="s">
        <v>87</v>
      </c>
    </row>
    <row r="50" spans="1:81">
      <c r="A50" t="s">
        <v>225</v>
      </c>
      <c r="B50" t="s">
        <v>226</v>
      </c>
      <c r="C50" t="s">
        <v>345</v>
      </c>
      <c r="D50" t="s">
        <v>83</v>
      </c>
      <c r="E50">
        <v>37</v>
      </c>
      <c r="F50" t="s">
        <v>167</v>
      </c>
      <c r="G50">
        <v>106.8</v>
      </c>
      <c r="H50">
        <v>185</v>
      </c>
      <c r="I50">
        <v>31.2</v>
      </c>
      <c r="J50">
        <v>102</v>
      </c>
      <c r="K50" t="s">
        <v>100</v>
      </c>
      <c r="L50" t="s">
        <v>86</v>
      </c>
      <c r="M50" t="s">
        <v>87</v>
      </c>
      <c r="N50" t="s">
        <v>87</v>
      </c>
      <c r="O50" t="s">
        <v>87</v>
      </c>
      <c r="P50" t="s">
        <v>108</v>
      </c>
      <c r="Q50">
        <v>20</v>
      </c>
      <c r="R50" t="s">
        <v>87</v>
      </c>
      <c r="S50" t="s">
        <v>86</v>
      </c>
      <c r="T50" t="s">
        <v>124</v>
      </c>
      <c r="U50">
        <v>144</v>
      </c>
      <c r="V50">
        <v>76</v>
      </c>
      <c r="W50">
        <v>98.7</v>
      </c>
      <c r="X50">
        <v>113</v>
      </c>
      <c r="Y50">
        <v>97</v>
      </c>
      <c r="Z50">
        <v>5045</v>
      </c>
      <c r="AA50">
        <v>6618</v>
      </c>
      <c r="AB50">
        <v>1573</v>
      </c>
      <c r="AC50">
        <v>13488</v>
      </c>
      <c r="AD50">
        <v>47.8</v>
      </c>
      <c r="AE50">
        <v>1494</v>
      </c>
      <c r="AF50">
        <v>18.100000000000001</v>
      </c>
      <c r="AG50">
        <v>58</v>
      </c>
      <c r="AH50">
        <v>251</v>
      </c>
      <c r="AI50">
        <v>33.5</v>
      </c>
      <c r="AJ50">
        <v>9</v>
      </c>
      <c r="AK50">
        <v>13.4</v>
      </c>
      <c r="AL50">
        <v>137</v>
      </c>
      <c r="AM50">
        <v>37.5</v>
      </c>
      <c r="AN50">
        <v>278</v>
      </c>
      <c r="AO50">
        <v>107</v>
      </c>
      <c r="AP50">
        <v>104</v>
      </c>
      <c r="AQ50">
        <v>8.4</v>
      </c>
      <c r="AR50">
        <v>139.1</v>
      </c>
      <c r="AS50">
        <v>4.3</v>
      </c>
      <c r="AT50">
        <v>79</v>
      </c>
      <c r="AU50">
        <v>113</v>
      </c>
      <c r="AV50">
        <v>32.700000000000003</v>
      </c>
      <c r="AW50">
        <v>1.4</v>
      </c>
      <c r="AX50">
        <v>14.2</v>
      </c>
      <c r="AY50">
        <v>7</v>
      </c>
      <c r="AZ50">
        <v>15.3</v>
      </c>
      <c r="BA50">
        <v>248</v>
      </c>
      <c r="BB50">
        <v>28</v>
      </c>
      <c r="BC50">
        <v>68</v>
      </c>
      <c r="BD50">
        <v>150</v>
      </c>
      <c r="BE50">
        <v>9.5</v>
      </c>
      <c r="BF50" t="s">
        <v>86</v>
      </c>
      <c r="BG50">
        <v>31</v>
      </c>
      <c r="BH50">
        <v>57.6</v>
      </c>
      <c r="BI50">
        <v>-12.2</v>
      </c>
      <c r="BJ50" t="s">
        <v>90</v>
      </c>
      <c r="BK50">
        <v>0</v>
      </c>
      <c r="BL50">
        <v>27</v>
      </c>
      <c r="BM50">
        <v>0.96</v>
      </c>
      <c r="BN50" t="s">
        <v>96</v>
      </c>
      <c r="BO50" t="s">
        <v>92</v>
      </c>
      <c r="BP50" t="s">
        <v>130</v>
      </c>
      <c r="BQ50" t="s">
        <v>103</v>
      </c>
      <c r="BR50">
        <v>1129</v>
      </c>
      <c r="BS50">
        <v>21.3</v>
      </c>
      <c r="BT50" t="s">
        <v>146</v>
      </c>
      <c r="BU50" t="s">
        <v>86</v>
      </c>
      <c r="BV50" t="s">
        <v>86</v>
      </c>
      <c r="BW50" t="s">
        <v>86</v>
      </c>
      <c r="BX50" t="s">
        <v>96</v>
      </c>
      <c r="BY50" t="s">
        <v>86</v>
      </c>
      <c r="BZ50" t="s">
        <v>86</v>
      </c>
      <c r="CA50">
        <v>9</v>
      </c>
      <c r="CB50" t="s">
        <v>97</v>
      </c>
      <c r="CC50" t="s">
        <v>86</v>
      </c>
    </row>
    <row r="51" spans="1:81">
      <c r="A51" t="s">
        <v>227</v>
      </c>
      <c r="B51" t="s">
        <v>228</v>
      </c>
      <c r="C51" t="s">
        <v>345</v>
      </c>
      <c r="D51" t="s">
        <v>83</v>
      </c>
      <c r="E51">
        <v>67</v>
      </c>
      <c r="F51" t="s">
        <v>128</v>
      </c>
      <c r="G51">
        <v>97.8</v>
      </c>
      <c r="H51">
        <v>166</v>
      </c>
      <c r="I51">
        <v>35.5</v>
      </c>
      <c r="J51">
        <v>101.6</v>
      </c>
      <c r="K51" t="s">
        <v>123</v>
      </c>
      <c r="L51" t="s">
        <v>86</v>
      </c>
      <c r="M51" t="s">
        <v>87</v>
      </c>
      <c r="N51" t="s">
        <v>87</v>
      </c>
      <c r="O51" t="s">
        <v>87</v>
      </c>
      <c r="P51" t="s">
        <v>108</v>
      </c>
      <c r="Q51">
        <v>7</v>
      </c>
      <c r="R51" t="s">
        <v>86</v>
      </c>
      <c r="S51" t="s">
        <v>86</v>
      </c>
      <c r="T51" t="s">
        <v>124</v>
      </c>
      <c r="U51">
        <v>152</v>
      </c>
      <c r="V51">
        <v>55</v>
      </c>
      <c r="W51">
        <v>87.3</v>
      </c>
      <c r="X51">
        <v>89</v>
      </c>
      <c r="Y51">
        <v>90</v>
      </c>
      <c r="Z51">
        <v>2949</v>
      </c>
      <c r="AA51">
        <v>4010</v>
      </c>
      <c r="AB51">
        <v>1061</v>
      </c>
      <c r="AC51">
        <v>69223</v>
      </c>
      <c r="AD51">
        <v>20.9</v>
      </c>
      <c r="AE51">
        <v>1543</v>
      </c>
      <c r="AF51">
        <v>42</v>
      </c>
      <c r="AG51">
        <v>42</v>
      </c>
      <c r="AH51">
        <v>748</v>
      </c>
      <c r="AI51">
        <v>20</v>
      </c>
      <c r="AJ51">
        <v>8.9</v>
      </c>
      <c r="AK51">
        <v>13.1</v>
      </c>
      <c r="AL51">
        <v>167</v>
      </c>
      <c r="AM51">
        <v>56.2</v>
      </c>
      <c r="AN51">
        <v>293</v>
      </c>
      <c r="AO51">
        <v>87</v>
      </c>
      <c r="AP51">
        <v>88</v>
      </c>
      <c r="AQ51">
        <v>4</v>
      </c>
      <c r="AR51">
        <v>135.4</v>
      </c>
      <c r="AS51">
        <v>3.9</v>
      </c>
      <c r="AT51">
        <v>15</v>
      </c>
      <c r="AU51">
        <v>67</v>
      </c>
      <c r="AV51">
        <v>43.8</v>
      </c>
      <c r="AW51">
        <v>2</v>
      </c>
      <c r="AX51">
        <v>14.2</v>
      </c>
      <c r="AY51">
        <v>6.8</v>
      </c>
      <c r="AZ51">
        <v>14</v>
      </c>
      <c r="BA51">
        <v>251</v>
      </c>
      <c r="BB51">
        <v>13</v>
      </c>
      <c r="BC51">
        <v>61</v>
      </c>
      <c r="BD51">
        <v>183</v>
      </c>
      <c r="BE51">
        <v>21</v>
      </c>
      <c r="BF51" t="s">
        <v>86</v>
      </c>
      <c r="BG51">
        <v>60</v>
      </c>
      <c r="BH51">
        <v>52.3</v>
      </c>
      <c r="BI51">
        <v>-11.1</v>
      </c>
      <c r="BJ51" t="s">
        <v>118</v>
      </c>
      <c r="BK51">
        <v>456</v>
      </c>
      <c r="BL51">
        <v>29</v>
      </c>
      <c r="BM51">
        <v>0.92</v>
      </c>
      <c r="BN51" t="s">
        <v>96</v>
      </c>
      <c r="BO51" t="s">
        <v>92</v>
      </c>
      <c r="BP51" t="s">
        <v>130</v>
      </c>
      <c r="BQ51" t="s">
        <v>103</v>
      </c>
      <c r="BR51">
        <v>1128</v>
      </c>
      <c r="BS51">
        <v>34.4</v>
      </c>
      <c r="BT51" t="s">
        <v>153</v>
      </c>
      <c r="BU51" t="s">
        <v>86</v>
      </c>
      <c r="BV51" t="s">
        <v>86</v>
      </c>
      <c r="BW51" t="s">
        <v>86</v>
      </c>
      <c r="BX51" t="s">
        <v>96</v>
      </c>
      <c r="BY51" t="s">
        <v>87</v>
      </c>
      <c r="BZ51" t="s">
        <v>86</v>
      </c>
      <c r="CA51">
        <v>11</v>
      </c>
      <c r="CB51" t="s">
        <v>97</v>
      </c>
      <c r="CC51" t="s">
        <v>86</v>
      </c>
    </row>
    <row r="52" spans="1:81">
      <c r="A52" t="s">
        <v>229</v>
      </c>
      <c r="B52" t="s">
        <v>230</v>
      </c>
      <c r="C52" t="s">
        <v>345</v>
      </c>
      <c r="D52" t="s">
        <v>83</v>
      </c>
      <c r="E52">
        <v>32</v>
      </c>
      <c r="F52" t="s">
        <v>167</v>
      </c>
      <c r="G52">
        <v>125.4</v>
      </c>
      <c r="H52">
        <v>172</v>
      </c>
      <c r="I52">
        <v>42.4</v>
      </c>
      <c r="J52">
        <v>128.1</v>
      </c>
      <c r="K52" t="s">
        <v>85</v>
      </c>
      <c r="L52" t="s">
        <v>86</v>
      </c>
      <c r="M52" t="s">
        <v>87</v>
      </c>
      <c r="N52" t="s">
        <v>86</v>
      </c>
      <c r="O52" t="s">
        <v>87</v>
      </c>
      <c r="P52" t="s">
        <v>134</v>
      </c>
      <c r="Q52">
        <v>0</v>
      </c>
      <c r="R52" t="s">
        <v>86</v>
      </c>
      <c r="S52" t="s">
        <v>87</v>
      </c>
      <c r="T52" t="s">
        <v>102</v>
      </c>
      <c r="U52">
        <v>123</v>
      </c>
      <c r="V52">
        <v>83</v>
      </c>
      <c r="W52">
        <v>96.3</v>
      </c>
      <c r="X52">
        <v>87</v>
      </c>
      <c r="Y52">
        <v>99</v>
      </c>
      <c r="Z52">
        <v>3617</v>
      </c>
      <c r="AA52">
        <v>5970</v>
      </c>
      <c r="AB52">
        <v>2353</v>
      </c>
      <c r="AC52">
        <v>2480</v>
      </c>
      <c r="AD52">
        <v>42.4</v>
      </c>
      <c r="AE52">
        <v>4788</v>
      </c>
      <c r="AF52">
        <v>88.1</v>
      </c>
      <c r="AG52">
        <v>77</v>
      </c>
      <c r="AH52">
        <v>892</v>
      </c>
      <c r="AI52">
        <v>19.100000000000001</v>
      </c>
      <c r="AJ52">
        <v>5.8</v>
      </c>
      <c r="AK52">
        <v>7</v>
      </c>
      <c r="AL52">
        <v>187</v>
      </c>
      <c r="AM52">
        <v>47.4</v>
      </c>
      <c r="AN52">
        <v>322</v>
      </c>
      <c r="AO52">
        <v>82</v>
      </c>
      <c r="AP52">
        <v>99</v>
      </c>
      <c r="AQ52">
        <v>13.4</v>
      </c>
      <c r="AR52">
        <v>134</v>
      </c>
      <c r="AS52">
        <v>4.4000000000000004</v>
      </c>
      <c r="AT52">
        <v>72</v>
      </c>
      <c r="AU52">
        <v>73</v>
      </c>
      <c r="AV52">
        <v>35.1</v>
      </c>
      <c r="AW52">
        <v>1.4</v>
      </c>
      <c r="AX52">
        <v>9.1999999999999993</v>
      </c>
      <c r="AY52">
        <v>4</v>
      </c>
      <c r="AZ52">
        <v>14.7</v>
      </c>
      <c r="BA52">
        <v>249</v>
      </c>
      <c r="BB52">
        <v>49</v>
      </c>
      <c r="BC52">
        <v>59</v>
      </c>
      <c r="BD52">
        <v>177</v>
      </c>
      <c r="BE52">
        <v>19.2</v>
      </c>
      <c r="BF52" t="s">
        <v>86</v>
      </c>
      <c r="BG52">
        <v>68</v>
      </c>
      <c r="BH52">
        <v>26.3</v>
      </c>
      <c r="BI52">
        <v>-12.8</v>
      </c>
      <c r="BJ52" t="s">
        <v>115</v>
      </c>
      <c r="BK52">
        <v>155</v>
      </c>
      <c r="BL52">
        <v>34</v>
      </c>
      <c r="BM52">
        <v>0.8</v>
      </c>
      <c r="BN52" t="s">
        <v>91</v>
      </c>
      <c r="BO52" t="s">
        <v>109</v>
      </c>
      <c r="BP52" t="s">
        <v>93</v>
      </c>
      <c r="BQ52" t="s">
        <v>103</v>
      </c>
      <c r="BR52">
        <v>1052</v>
      </c>
      <c r="BS52">
        <v>30.9</v>
      </c>
      <c r="BT52" t="s">
        <v>95</v>
      </c>
      <c r="BU52" t="s">
        <v>87</v>
      </c>
      <c r="BV52" t="s">
        <v>86</v>
      </c>
      <c r="BW52" t="s">
        <v>86</v>
      </c>
      <c r="BX52" t="s">
        <v>96</v>
      </c>
      <c r="BY52" t="s">
        <v>86</v>
      </c>
      <c r="BZ52" t="s">
        <v>86</v>
      </c>
      <c r="CA52">
        <v>8</v>
      </c>
      <c r="CB52" t="s">
        <v>97</v>
      </c>
      <c r="CC52" t="s">
        <v>87</v>
      </c>
    </row>
    <row r="53" spans="1:81">
      <c r="A53" t="s">
        <v>231</v>
      </c>
      <c r="B53" t="s">
        <v>232</v>
      </c>
      <c r="C53" t="s">
        <v>345</v>
      </c>
      <c r="D53" t="s">
        <v>83</v>
      </c>
      <c r="E53">
        <v>36</v>
      </c>
      <c r="F53" t="s">
        <v>113</v>
      </c>
      <c r="G53">
        <v>127.8</v>
      </c>
      <c r="H53">
        <v>179</v>
      </c>
      <c r="I53">
        <v>39.9</v>
      </c>
      <c r="J53">
        <v>122</v>
      </c>
      <c r="K53" t="s">
        <v>123</v>
      </c>
      <c r="L53" t="s">
        <v>86</v>
      </c>
      <c r="M53" t="s">
        <v>87</v>
      </c>
      <c r="N53" t="s">
        <v>86</v>
      </c>
      <c r="O53" t="s">
        <v>86</v>
      </c>
      <c r="P53" t="s">
        <v>101</v>
      </c>
      <c r="Q53">
        <v>9</v>
      </c>
      <c r="R53" t="s">
        <v>86</v>
      </c>
      <c r="S53" t="s">
        <v>86</v>
      </c>
      <c r="T53" t="s">
        <v>102</v>
      </c>
      <c r="U53">
        <v>166</v>
      </c>
      <c r="V53">
        <v>74</v>
      </c>
      <c r="W53">
        <v>104.7</v>
      </c>
      <c r="X53">
        <v>125</v>
      </c>
      <c r="Y53">
        <v>98</v>
      </c>
      <c r="Z53">
        <v>1962</v>
      </c>
      <c r="AA53">
        <v>2007</v>
      </c>
      <c r="AB53">
        <v>45</v>
      </c>
      <c r="AC53">
        <v>6888</v>
      </c>
      <c r="AD53">
        <v>36.9</v>
      </c>
      <c r="AE53">
        <v>1061</v>
      </c>
      <c r="AF53">
        <v>20</v>
      </c>
      <c r="AG53">
        <v>60</v>
      </c>
      <c r="AH53">
        <v>787</v>
      </c>
      <c r="AI53">
        <v>12.8</v>
      </c>
      <c r="AJ53">
        <v>5.8</v>
      </c>
      <c r="AK53">
        <v>5.5</v>
      </c>
      <c r="AL53">
        <v>137</v>
      </c>
      <c r="AM53">
        <v>32.799999999999997</v>
      </c>
      <c r="AN53">
        <v>298</v>
      </c>
      <c r="AO53">
        <v>140</v>
      </c>
      <c r="AP53">
        <v>73</v>
      </c>
      <c r="AQ53">
        <v>6.9</v>
      </c>
      <c r="AR53">
        <v>136.9</v>
      </c>
      <c r="AS53">
        <v>4</v>
      </c>
      <c r="AT53">
        <v>65</v>
      </c>
      <c r="AU53">
        <v>58</v>
      </c>
      <c r="AV53">
        <v>30.4</v>
      </c>
      <c r="AW53">
        <v>2.2999999999999998</v>
      </c>
      <c r="AX53">
        <v>4.5</v>
      </c>
      <c r="AY53">
        <v>3.8</v>
      </c>
      <c r="AZ53">
        <v>15.6</v>
      </c>
      <c r="BA53">
        <v>217</v>
      </c>
      <c r="BB53">
        <v>31</v>
      </c>
      <c r="BC53">
        <v>57</v>
      </c>
      <c r="BD53">
        <v>146</v>
      </c>
      <c r="BE53">
        <v>18</v>
      </c>
      <c r="BF53" t="s">
        <v>86</v>
      </c>
      <c r="BG53">
        <v>42</v>
      </c>
      <c r="BH53">
        <v>40.299999999999997</v>
      </c>
      <c r="BI53">
        <v>-14.1</v>
      </c>
      <c r="BJ53" t="s">
        <v>115</v>
      </c>
      <c r="BK53">
        <v>361</v>
      </c>
      <c r="BL53">
        <v>0</v>
      </c>
      <c r="BM53">
        <v>1.0900000000000001</v>
      </c>
      <c r="BN53" t="s">
        <v>96</v>
      </c>
      <c r="BO53" t="s">
        <v>92</v>
      </c>
      <c r="BP53" t="s">
        <v>93</v>
      </c>
      <c r="BQ53" t="s">
        <v>103</v>
      </c>
      <c r="BR53">
        <v>1049</v>
      </c>
      <c r="BS53">
        <v>32.200000000000003</v>
      </c>
      <c r="BT53" t="s">
        <v>131</v>
      </c>
      <c r="BU53" t="s">
        <v>86</v>
      </c>
      <c r="BV53" t="s">
        <v>86</v>
      </c>
      <c r="BW53" t="s">
        <v>86</v>
      </c>
      <c r="BX53" t="s">
        <v>96</v>
      </c>
      <c r="BY53" t="s">
        <v>86</v>
      </c>
      <c r="BZ53" t="s">
        <v>86</v>
      </c>
      <c r="CA53">
        <v>9</v>
      </c>
      <c r="CB53" t="s">
        <v>97</v>
      </c>
      <c r="CC53" t="s">
        <v>86</v>
      </c>
    </row>
    <row r="54" spans="1:81">
      <c r="A54" t="s">
        <v>233</v>
      </c>
      <c r="B54" t="s">
        <v>234</v>
      </c>
      <c r="C54" t="s">
        <v>345</v>
      </c>
      <c r="D54" t="s">
        <v>83</v>
      </c>
      <c r="E54">
        <v>33</v>
      </c>
      <c r="F54" t="s">
        <v>128</v>
      </c>
      <c r="G54">
        <v>82.7</v>
      </c>
      <c r="H54">
        <v>175</v>
      </c>
      <c r="I54">
        <v>27</v>
      </c>
      <c r="J54">
        <v>94</v>
      </c>
      <c r="K54" t="s">
        <v>114</v>
      </c>
      <c r="L54" t="s">
        <v>86</v>
      </c>
      <c r="M54" t="s">
        <v>87</v>
      </c>
      <c r="N54" t="s">
        <v>87</v>
      </c>
      <c r="O54" t="s">
        <v>87</v>
      </c>
      <c r="P54" t="s">
        <v>88</v>
      </c>
      <c r="Q54">
        <v>23</v>
      </c>
      <c r="R54" t="s">
        <v>87</v>
      </c>
      <c r="S54" t="s">
        <v>87</v>
      </c>
      <c r="T54" t="s">
        <v>89</v>
      </c>
      <c r="U54">
        <v>113</v>
      </c>
      <c r="V54">
        <v>58</v>
      </c>
      <c r="W54">
        <v>76.3</v>
      </c>
      <c r="X54">
        <v>118</v>
      </c>
      <c r="Y54">
        <v>90</v>
      </c>
      <c r="Z54">
        <v>3540</v>
      </c>
      <c r="AA54">
        <v>4890</v>
      </c>
      <c r="AB54">
        <v>1350</v>
      </c>
      <c r="AC54">
        <v>6140</v>
      </c>
      <c r="AD54">
        <v>21.2</v>
      </c>
      <c r="AE54">
        <v>655</v>
      </c>
      <c r="AF54">
        <v>14.7</v>
      </c>
      <c r="AG54">
        <v>37</v>
      </c>
      <c r="AH54">
        <v>454</v>
      </c>
      <c r="AI54">
        <v>4.5</v>
      </c>
      <c r="AJ54">
        <v>7.8</v>
      </c>
      <c r="AK54">
        <v>12.4</v>
      </c>
      <c r="AL54">
        <v>154</v>
      </c>
      <c r="AM54">
        <v>39.6</v>
      </c>
      <c r="AN54">
        <v>234</v>
      </c>
      <c r="AO54">
        <v>191</v>
      </c>
      <c r="AP54">
        <v>47</v>
      </c>
      <c r="AQ54">
        <v>10.6</v>
      </c>
      <c r="AR54">
        <v>138.30000000000001</v>
      </c>
      <c r="AS54">
        <v>3.7</v>
      </c>
      <c r="AT54">
        <v>48</v>
      </c>
      <c r="AU54">
        <v>15</v>
      </c>
      <c r="AV54">
        <v>41.9</v>
      </c>
      <c r="AW54">
        <v>1.7</v>
      </c>
      <c r="AX54">
        <v>12.5</v>
      </c>
      <c r="AY54">
        <v>2.8</v>
      </c>
      <c r="AZ54">
        <v>13.6</v>
      </c>
      <c r="BA54">
        <v>370</v>
      </c>
      <c r="BB54">
        <v>38</v>
      </c>
      <c r="BC54">
        <v>55</v>
      </c>
      <c r="BD54">
        <v>130</v>
      </c>
      <c r="BE54">
        <v>11.3</v>
      </c>
      <c r="BF54" t="s">
        <v>87</v>
      </c>
      <c r="BG54">
        <v>51</v>
      </c>
      <c r="BH54">
        <v>47.1</v>
      </c>
      <c r="BI54">
        <v>-9.6999999999999993</v>
      </c>
      <c r="BJ54" t="s">
        <v>90</v>
      </c>
      <c r="BK54">
        <v>38</v>
      </c>
      <c r="BL54">
        <v>40</v>
      </c>
      <c r="BM54">
        <v>0.88</v>
      </c>
      <c r="BN54" t="s">
        <v>96</v>
      </c>
      <c r="BO54" t="s">
        <v>92</v>
      </c>
      <c r="BP54" t="s">
        <v>93</v>
      </c>
      <c r="BQ54" t="s">
        <v>103</v>
      </c>
      <c r="BR54">
        <v>1131</v>
      </c>
      <c r="BS54">
        <v>39.4</v>
      </c>
      <c r="BT54" t="s">
        <v>110</v>
      </c>
      <c r="BU54" t="s">
        <v>86</v>
      </c>
      <c r="BV54" t="s">
        <v>86</v>
      </c>
      <c r="BW54" t="s">
        <v>86</v>
      </c>
      <c r="BX54" t="s">
        <v>96</v>
      </c>
      <c r="BY54" t="s">
        <v>86</v>
      </c>
      <c r="BZ54" t="s">
        <v>86</v>
      </c>
      <c r="CA54">
        <v>5</v>
      </c>
      <c r="CB54" t="s">
        <v>97</v>
      </c>
      <c r="CC54" t="s">
        <v>86</v>
      </c>
    </row>
    <row r="55" spans="1:81">
      <c r="A55" t="s">
        <v>235</v>
      </c>
      <c r="B55" t="s">
        <v>236</v>
      </c>
      <c r="C55" t="s">
        <v>345</v>
      </c>
      <c r="D55" t="s">
        <v>83</v>
      </c>
      <c r="E55">
        <v>63</v>
      </c>
      <c r="F55" t="s">
        <v>84</v>
      </c>
      <c r="G55">
        <v>70.8</v>
      </c>
      <c r="H55">
        <v>167</v>
      </c>
      <c r="I55">
        <v>25.4</v>
      </c>
      <c r="J55">
        <v>89.9</v>
      </c>
      <c r="K55" t="s">
        <v>114</v>
      </c>
      <c r="L55" t="s">
        <v>87</v>
      </c>
      <c r="M55" t="s">
        <v>87</v>
      </c>
      <c r="N55" t="s">
        <v>86</v>
      </c>
      <c r="O55" t="s">
        <v>87</v>
      </c>
      <c r="P55" t="s">
        <v>88</v>
      </c>
      <c r="Q55">
        <v>2</v>
      </c>
      <c r="R55" t="s">
        <v>86</v>
      </c>
      <c r="S55" t="s">
        <v>87</v>
      </c>
      <c r="T55" t="s">
        <v>102</v>
      </c>
      <c r="U55">
        <v>109</v>
      </c>
      <c r="V55">
        <v>78</v>
      </c>
      <c r="W55">
        <v>88.3</v>
      </c>
      <c r="X55">
        <v>114</v>
      </c>
      <c r="Y55">
        <v>98</v>
      </c>
      <c r="Z55">
        <v>6717</v>
      </c>
      <c r="AA55">
        <v>8513</v>
      </c>
      <c r="AB55">
        <v>1796</v>
      </c>
      <c r="AC55">
        <v>11831</v>
      </c>
      <c r="AD55">
        <v>30.9</v>
      </c>
      <c r="AE55">
        <v>2606</v>
      </c>
      <c r="AF55">
        <v>44.6</v>
      </c>
      <c r="AG55">
        <v>80</v>
      </c>
      <c r="AH55">
        <v>614</v>
      </c>
      <c r="AI55">
        <v>21</v>
      </c>
      <c r="AJ55">
        <v>5.9</v>
      </c>
      <c r="AK55">
        <v>6.4</v>
      </c>
      <c r="AL55">
        <v>151</v>
      </c>
      <c r="AM55">
        <v>40.799999999999997</v>
      </c>
      <c r="AN55">
        <v>200</v>
      </c>
      <c r="AO55">
        <v>113</v>
      </c>
      <c r="AP55">
        <v>69</v>
      </c>
      <c r="AQ55">
        <v>7.1</v>
      </c>
      <c r="AR55">
        <v>133</v>
      </c>
      <c r="AS55">
        <v>3.7</v>
      </c>
      <c r="AT55">
        <v>37</v>
      </c>
      <c r="AU55">
        <v>18</v>
      </c>
      <c r="AV55">
        <v>45.6</v>
      </c>
      <c r="AW55">
        <v>1.3</v>
      </c>
      <c r="AX55">
        <v>9.8000000000000007</v>
      </c>
      <c r="AY55">
        <v>10.5</v>
      </c>
      <c r="AZ55">
        <v>11.1</v>
      </c>
      <c r="BA55">
        <v>216</v>
      </c>
      <c r="BB55">
        <v>14</v>
      </c>
      <c r="BC55">
        <v>72</v>
      </c>
      <c r="BD55">
        <v>152</v>
      </c>
      <c r="BE55">
        <v>17.2</v>
      </c>
      <c r="BF55" t="s">
        <v>86</v>
      </c>
      <c r="BG55">
        <v>36</v>
      </c>
      <c r="BH55">
        <v>71.5</v>
      </c>
      <c r="BI55">
        <v>-9.3000000000000007</v>
      </c>
      <c r="BJ55" t="s">
        <v>115</v>
      </c>
      <c r="BK55">
        <v>1381</v>
      </c>
      <c r="BL55">
        <v>60</v>
      </c>
      <c r="BM55">
        <v>1.03</v>
      </c>
      <c r="BN55" t="s">
        <v>96</v>
      </c>
      <c r="BO55" t="s">
        <v>92</v>
      </c>
      <c r="BP55" t="s">
        <v>93</v>
      </c>
      <c r="BQ55" t="s">
        <v>94</v>
      </c>
      <c r="BR55">
        <v>1113</v>
      </c>
      <c r="BS55">
        <v>23.4</v>
      </c>
      <c r="BT55" t="s">
        <v>153</v>
      </c>
      <c r="BU55" t="s">
        <v>87</v>
      </c>
      <c r="BV55" t="s">
        <v>87</v>
      </c>
      <c r="BW55" t="s">
        <v>87</v>
      </c>
      <c r="BX55" t="s">
        <v>96</v>
      </c>
      <c r="BY55" t="s">
        <v>86</v>
      </c>
      <c r="BZ55" t="s">
        <v>86</v>
      </c>
      <c r="CA55">
        <v>12</v>
      </c>
      <c r="CB55" t="s">
        <v>104</v>
      </c>
      <c r="CC55" t="s">
        <v>87</v>
      </c>
    </row>
    <row r="56" spans="1:81">
      <c r="A56" t="s">
        <v>237</v>
      </c>
      <c r="B56" t="s">
        <v>238</v>
      </c>
      <c r="C56" t="s">
        <v>345</v>
      </c>
      <c r="D56" t="s">
        <v>83</v>
      </c>
      <c r="E56">
        <v>30</v>
      </c>
      <c r="F56" t="s">
        <v>167</v>
      </c>
      <c r="G56">
        <v>101.4</v>
      </c>
      <c r="H56">
        <v>164</v>
      </c>
      <c r="I56">
        <v>37.700000000000003</v>
      </c>
      <c r="J56">
        <v>113.2</v>
      </c>
      <c r="K56" t="s">
        <v>123</v>
      </c>
      <c r="L56" t="s">
        <v>86</v>
      </c>
      <c r="M56" t="s">
        <v>87</v>
      </c>
      <c r="N56" t="s">
        <v>86</v>
      </c>
      <c r="O56" t="s">
        <v>87</v>
      </c>
      <c r="P56" t="s">
        <v>108</v>
      </c>
      <c r="Q56">
        <v>22</v>
      </c>
      <c r="R56" t="s">
        <v>86</v>
      </c>
      <c r="S56" t="s">
        <v>87</v>
      </c>
      <c r="T56" t="s">
        <v>102</v>
      </c>
      <c r="U56">
        <v>171</v>
      </c>
      <c r="V56">
        <v>66</v>
      </c>
      <c r="W56">
        <v>101</v>
      </c>
      <c r="X56">
        <v>85</v>
      </c>
      <c r="Y56">
        <v>92</v>
      </c>
      <c r="Z56">
        <v>660</v>
      </c>
      <c r="AA56">
        <v>1092</v>
      </c>
      <c r="AB56">
        <v>432</v>
      </c>
      <c r="AC56">
        <v>13075</v>
      </c>
      <c r="AD56">
        <v>7.2</v>
      </c>
      <c r="AE56">
        <v>13837</v>
      </c>
      <c r="AF56">
        <v>51.6</v>
      </c>
      <c r="AG56">
        <v>55</v>
      </c>
      <c r="AH56">
        <v>666</v>
      </c>
      <c r="AI56">
        <v>14.9</v>
      </c>
      <c r="AJ56">
        <v>5.4</v>
      </c>
      <c r="AK56">
        <v>5.2</v>
      </c>
      <c r="AL56">
        <v>180</v>
      </c>
      <c r="AM56">
        <v>37.700000000000003</v>
      </c>
      <c r="AN56">
        <v>123</v>
      </c>
      <c r="AO56">
        <v>102</v>
      </c>
      <c r="AP56">
        <v>90</v>
      </c>
      <c r="AQ56">
        <v>8.6</v>
      </c>
      <c r="AR56">
        <v>136.4</v>
      </c>
      <c r="AS56">
        <v>4.0999999999999996</v>
      </c>
      <c r="AT56">
        <v>92</v>
      </c>
      <c r="AU56">
        <v>53</v>
      </c>
      <c r="AV56">
        <v>36.299999999999997</v>
      </c>
      <c r="AW56">
        <v>1.7</v>
      </c>
      <c r="AX56">
        <v>11</v>
      </c>
      <c r="AY56">
        <v>5.3</v>
      </c>
      <c r="AZ56">
        <v>11.6</v>
      </c>
      <c r="BA56">
        <v>294</v>
      </c>
      <c r="BB56">
        <v>37</v>
      </c>
      <c r="BC56">
        <v>58</v>
      </c>
      <c r="BD56">
        <v>141</v>
      </c>
      <c r="BE56">
        <v>22.7</v>
      </c>
      <c r="BF56" t="s">
        <v>86</v>
      </c>
      <c r="BG56">
        <v>49</v>
      </c>
      <c r="BH56">
        <v>61.6</v>
      </c>
      <c r="BI56">
        <v>-9.6999999999999993</v>
      </c>
      <c r="BJ56" t="s">
        <v>90</v>
      </c>
      <c r="BK56">
        <v>154</v>
      </c>
      <c r="BL56">
        <v>31</v>
      </c>
      <c r="BM56">
        <v>1.1000000000000001</v>
      </c>
      <c r="BN56" t="s">
        <v>91</v>
      </c>
      <c r="BO56" t="s">
        <v>92</v>
      </c>
      <c r="BP56" t="s">
        <v>130</v>
      </c>
      <c r="BQ56" t="s">
        <v>94</v>
      </c>
      <c r="BR56">
        <v>1146</v>
      </c>
      <c r="BS56">
        <v>24.1</v>
      </c>
      <c r="BT56" t="s">
        <v>110</v>
      </c>
      <c r="BU56" t="s">
        <v>86</v>
      </c>
      <c r="BV56" t="s">
        <v>86</v>
      </c>
      <c r="BW56" t="s">
        <v>86</v>
      </c>
      <c r="BX56" t="s">
        <v>96</v>
      </c>
      <c r="BY56" t="s">
        <v>86</v>
      </c>
      <c r="BZ56" t="s">
        <v>86</v>
      </c>
      <c r="CA56">
        <v>7</v>
      </c>
      <c r="CB56" t="s">
        <v>97</v>
      </c>
      <c r="CC56" t="s">
        <v>86</v>
      </c>
    </row>
    <row r="57" spans="1:81">
      <c r="A57" t="s">
        <v>239</v>
      </c>
      <c r="B57" t="s">
        <v>240</v>
      </c>
      <c r="C57" t="s">
        <v>345</v>
      </c>
      <c r="D57" t="s">
        <v>83</v>
      </c>
      <c r="E57">
        <v>36</v>
      </c>
      <c r="F57" t="s">
        <v>167</v>
      </c>
      <c r="G57">
        <v>85.5</v>
      </c>
      <c r="H57">
        <v>164</v>
      </c>
      <c r="I57">
        <v>31.8</v>
      </c>
      <c r="J57">
        <v>98.2</v>
      </c>
      <c r="K57" t="s">
        <v>100</v>
      </c>
      <c r="L57" t="s">
        <v>86</v>
      </c>
      <c r="M57" t="s">
        <v>87</v>
      </c>
      <c r="N57" t="s">
        <v>86</v>
      </c>
      <c r="O57" t="s">
        <v>87</v>
      </c>
      <c r="P57" t="s">
        <v>88</v>
      </c>
      <c r="Q57">
        <v>20</v>
      </c>
      <c r="R57" t="s">
        <v>86</v>
      </c>
      <c r="S57" t="s">
        <v>87</v>
      </c>
      <c r="T57" t="s">
        <v>102</v>
      </c>
      <c r="U57">
        <v>116</v>
      </c>
      <c r="V57">
        <v>79</v>
      </c>
      <c r="W57">
        <v>91.3</v>
      </c>
      <c r="X57">
        <v>96</v>
      </c>
      <c r="Y57">
        <v>96</v>
      </c>
      <c r="Z57">
        <v>421</v>
      </c>
      <c r="AA57">
        <v>500</v>
      </c>
      <c r="AB57">
        <v>79</v>
      </c>
      <c r="AC57">
        <v>12445</v>
      </c>
      <c r="AD57">
        <v>20.2</v>
      </c>
      <c r="AE57">
        <v>810</v>
      </c>
      <c r="AF57">
        <v>14.9</v>
      </c>
      <c r="AG57">
        <v>56</v>
      </c>
      <c r="AH57">
        <v>754</v>
      </c>
      <c r="AI57">
        <v>26.5</v>
      </c>
      <c r="AJ57">
        <v>6</v>
      </c>
      <c r="AK57">
        <v>6.9</v>
      </c>
      <c r="AL57">
        <v>111</v>
      </c>
      <c r="AM57">
        <v>55.5</v>
      </c>
      <c r="AN57">
        <v>187</v>
      </c>
      <c r="AO57">
        <v>72</v>
      </c>
      <c r="AP57">
        <v>118</v>
      </c>
      <c r="AQ57">
        <v>3.5</v>
      </c>
      <c r="AR57">
        <v>138.30000000000001</v>
      </c>
      <c r="AS57">
        <v>4</v>
      </c>
      <c r="AT57">
        <v>46</v>
      </c>
      <c r="AU57">
        <v>55</v>
      </c>
      <c r="AV57">
        <v>43.8</v>
      </c>
      <c r="AW57">
        <v>1.7</v>
      </c>
      <c r="AX57">
        <v>14.6</v>
      </c>
      <c r="AY57">
        <v>4.3</v>
      </c>
      <c r="AZ57">
        <v>11.2</v>
      </c>
      <c r="BA57">
        <v>251</v>
      </c>
      <c r="BB57">
        <v>29</v>
      </c>
      <c r="BC57">
        <v>70</v>
      </c>
      <c r="BD57">
        <v>138</v>
      </c>
      <c r="BE57">
        <v>19.2</v>
      </c>
      <c r="BF57" t="s">
        <v>86</v>
      </c>
      <c r="BG57">
        <v>43</v>
      </c>
      <c r="BH57">
        <v>53.9</v>
      </c>
      <c r="BI57">
        <v>-13.3</v>
      </c>
      <c r="BJ57" t="s">
        <v>90</v>
      </c>
      <c r="BK57">
        <v>76</v>
      </c>
      <c r="BL57">
        <v>2</v>
      </c>
      <c r="BM57">
        <v>0.99</v>
      </c>
      <c r="BN57" t="s">
        <v>91</v>
      </c>
      <c r="BO57" t="s">
        <v>92</v>
      </c>
      <c r="BP57" t="s">
        <v>93</v>
      </c>
      <c r="BQ57" t="s">
        <v>103</v>
      </c>
      <c r="BR57">
        <v>1047</v>
      </c>
      <c r="BS57">
        <v>25.8</v>
      </c>
      <c r="BT57" t="s">
        <v>146</v>
      </c>
      <c r="BU57" t="s">
        <v>86</v>
      </c>
      <c r="BV57" t="s">
        <v>86</v>
      </c>
      <c r="BW57" t="s">
        <v>86</v>
      </c>
      <c r="BX57" t="s">
        <v>96</v>
      </c>
      <c r="BY57" t="s">
        <v>86</v>
      </c>
      <c r="BZ57" t="s">
        <v>86</v>
      </c>
      <c r="CA57">
        <v>3</v>
      </c>
      <c r="CB57" t="s">
        <v>97</v>
      </c>
      <c r="CC57" t="s">
        <v>86</v>
      </c>
    </row>
    <row r="58" spans="1:81">
      <c r="A58" t="s">
        <v>241</v>
      </c>
      <c r="B58" t="s">
        <v>242</v>
      </c>
      <c r="C58" t="s">
        <v>345</v>
      </c>
      <c r="D58" t="s">
        <v>83</v>
      </c>
      <c r="E58">
        <v>45</v>
      </c>
      <c r="F58" t="s">
        <v>84</v>
      </c>
      <c r="G58">
        <v>112.1</v>
      </c>
      <c r="H58">
        <v>170</v>
      </c>
      <c r="I58">
        <v>38.799999999999997</v>
      </c>
      <c r="J58">
        <v>114.2</v>
      </c>
      <c r="K58" t="s">
        <v>123</v>
      </c>
      <c r="L58" t="s">
        <v>86</v>
      </c>
      <c r="M58" t="s">
        <v>87</v>
      </c>
      <c r="N58" t="s">
        <v>86</v>
      </c>
      <c r="O58" t="s">
        <v>87</v>
      </c>
      <c r="P58" t="s">
        <v>108</v>
      </c>
      <c r="Q58">
        <v>26</v>
      </c>
      <c r="R58" t="s">
        <v>86</v>
      </c>
      <c r="S58" t="s">
        <v>87</v>
      </c>
      <c r="T58" t="s">
        <v>102</v>
      </c>
      <c r="U58">
        <v>152</v>
      </c>
      <c r="V58">
        <v>88</v>
      </c>
      <c r="W58">
        <v>109.3</v>
      </c>
      <c r="X58">
        <v>134</v>
      </c>
      <c r="Y58">
        <v>91</v>
      </c>
      <c r="Z58">
        <v>7613</v>
      </c>
      <c r="AA58">
        <v>6824</v>
      </c>
      <c r="AB58">
        <v>-789</v>
      </c>
      <c r="AC58">
        <v>7678</v>
      </c>
      <c r="AD58">
        <v>55.2</v>
      </c>
      <c r="AE58">
        <v>1616</v>
      </c>
      <c r="AF58">
        <v>42.5</v>
      </c>
      <c r="AG58">
        <v>71</v>
      </c>
      <c r="AH58">
        <v>2098</v>
      </c>
      <c r="AI58">
        <v>19.399999999999999</v>
      </c>
      <c r="AJ58">
        <v>6</v>
      </c>
      <c r="AK58">
        <v>6.1</v>
      </c>
      <c r="AL58">
        <v>177</v>
      </c>
      <c r="AM58">
        <v>33</v>
      </c>
      <c r="AN58">
        <v>321</v>
      </c>
      <c r="AO58">
        <v>115</v>
      </c>
      <c r="AP58">
        <v>86</v>
      </c>
      <c r="AQ58">
        <v>5.6</v>
      </c>
      <c r="AR58">
        <v>134.1</v>
      </c>
      <c r="AS58">
        <v>3.9</v>
      </c>
      <c r="AT58">
        <v>100</v>
      </c>
      <c r="AU58">
        <v>87</v>
      </c>
      <c r="AV58">
        <v>35.9</v>
      </c>
      <c r="AW58">
        <v>1.9</v>
      </c>
      <c r="AX58">
        <v>11.5</v>
      </c>
      <c r="AY58">
        <v>2.6</v>
      </c>
      <c r="AZ58">
        <v>15.1</v>
      </c>
      <c r="BA58">
        <v>313</v>
      </c>
      <c r="BB58">
        <v>41</v>
      </c>
      <c r="BC58">
        <v>62</v>
      </c>
      <c r="BD58">
        <v>170</v>
      </c>
      <c r="BE58">
        <v>22.3</v>
      </c>
      <c r="BF58" t="s">
        <v>87</v>
      </c>
      <c r="BG58">
        <v>46</v>
      </c>
      <c r="BH58">
        <v>48.4</v>
      </c>
      <c r="BI58">
        <v>-13.3</v>
      </c>
      <c r="BJ58" t="s">
        <v>125</v>
      </c>
      <c r="BK58">
        <v>379</v>
      </c>
      <c r="BL58">
        <v>31</v>
      </c>
      <c r="BM58">
        <v>0.88</v>
      </c>
      <c r="BN58" t="s">
        <v>135</v>
      </c>
      <c r="BO58" t="s">
        <v>92</v>
      </c>
      <c r="BP58" t="s">
        <v>93</v>
      </c>
      <c r="BQ58" t="s">
        <v>103</v>
      </c>
      <c r="BR58">
        <v>1099</v>
      </c>
      <c r="BS58">
        <v>27.6</v>
      </c>
      <c r="BT58" t="s">
        <v>110</v>
      </c>
      <c r="BU58" t="s">
        <v>87</v>
      </c>
      <c r="BV58" t="s">
        <v>86</v>
      </c>
      <c r="BW58" t="s">
        <v>87</v>
      </c>
      <c r="BX58" t="s">
        <v>243</v>
      </c>
      <c r="BY58" t="s">
        <v>86</v>
      </c>
      <c r="BZ58" t="s">
        <v>86</v>
      </c>
      <c r="CA58">
        <v>22</v>
      </c>
      <c r="CB58" t="s">
        <v>104</v>
      </c>
      <c r="CC58" t="s">
        <v>87</v>
      </c>
    </row>
    <row r="59" spans="1:81">
      <c r="A59" t="s">
        <v>244</v>
      </c>
      <c r="B59" t="s">
        <v>245</v>
      </c>
      <c r="C59" t="s">
        <v>345</v>
      </c>
      <c r="D59" t="s">
        <v>83</v>
      </c>
      <c r="E59">
        <v>32</v>
      </c>
      <c r="F59" t="s">
        <v>84</v>
      </c>
      <c r="G59">
        <v>98.4</v>
      </c>
      <c r="H59">
        <v>164</v>
      </c>
      <c r="I59">
        <v>36.6</v>
      </c>
      <c r="J59">
        <v>111.1</v>
      </c>
      <c r="K59" t="s">
        <v>123</v>
      </c>
      <c r="L59" t="s">
        <v>87</v>
      </c>
      <c r="M59" t="s">
        <v>86</v>
      </c>
      <c r="N59" t="s">
        <v>87</v>
      </c>
      <c r="O59" t="s">
        <v>87</v>
      </c>
      <c r="P59" t="s">
        <v>108</v>
      </c>
      <c r="Q59">
        <v>25</v>
      </c>
      <c r="R59" t="s">
        <v>86</v>
      </c>
      <c r="S59" t="s">
        <v>87</v>
      </c>
      <c r="T59" t="s">
        <v>124</v>
      </c>
      <c r="U59">
        <v>126</v>
      </c>
      <c r="V59">
        <v>106</v>
      </c>
      <c r="W59">
        <v>112.7</v>
      </c>
      <c r="X59">
        <v>114</v>
      </c>
      <c r="Y59">
        <v>89</v>
      </c>
      <c r="Z59">
        <v>654</v>
      </c>
      <c r="AA59">
        <v>795</v>
      </c>
      <c r="AB59">
        <v>141</v>
      </c>
      <c r="AC59">
        <v>8408</v>
      </c>
      <c r="AD59">
        <v>34.200000000000003</v>
      </c>
      <c r="AE59">
        <v>7270</v>
      </c>
      <c r="AF59">
        <v>61.4</v>
      </c>
      <c r="AG59">
        <v>72</v>
      </c>
      <c r="AH59">
        <v>802</v>
      </c>
      <c r="AI59">
        <v>37.4</v>
      </c>
      <c r="AJ59">
        <v>9</v>
      </c>
      <c r="AK59">
        <v>9.1</v>
      </c>
      <c r="AL59">
        <v>175</v>
      </c>
      <c r="AM59">
        <v>37</v>
      </c>
      <c r="AN59">
        <v>338</v>
      </c>
      <c r="AO59">
        <v>138</v>
      </c>
      <c r="AP59">
        <v>88</v>
      </c>
      <c r="AQ59">
        <v>7.7</v>
      </c>
      <c r="AR59">
        <v>139.6</v>
      </c>
      <c r="AS59">
        <v>4.5</v>
      </c>
      <c r="AT59">
        <v>80</v>
      </c>
      <c r="AU59">
        <v>55</v>
      </c>
      <c r="AV59">
        <v>27.8</v>
      </c>
      <c r="AW59">
        <v>2</v>
      </c>
      <c r="AX59">
        <v>7.1</v>
      </c>
      <c r="AY59">
        <v>7.1</v>
      </c>
      <c r="AZ59">
        <v>12.5</v>
      </c>
      <c r="BA59">
        <v>333</v>
      </c>
      <c r="BB59">
        <v>36</v>
      </c>
      <c r="BC59">
        <v>65</v>
      </c>
      <c r="BD59">
        <v>124</v>
      </c>
      <c r="BE59">
        <v>12.1</v>
      </c>
      <c r="BF59" t="s">
        <v>86</v>
      </c>
      <c r="BG59">
        <v>40</v>
      </c>
      <c r="BH59">
        <v>35.200000000000003</v>
      </c>
      <c r="BI59">
        <v>-7.4</v>
      </c>
      <c r="BJ59" t="s">
        <v>90</v>
      </c>
      <c r="BK59">
        <v>48</v>
      </c>
      <c r="BL59">
        <v>43</v>
      </c>
      <c r="BM59">
        <v>0.95</v>
      </c>
      <c r="BN59" t="s">
        <v>96</v>
      </c>
      <c r="BO59" t="s">
        <v>92</v>
      </c>
      <c r="BP59" t="s">
        <v>93</v>
      </c>
      <c r="BQ59" t="s">
        <v>103</v>
      </c>
      <c r="BR59">
        <v>1091</v>
      </c>
      <c r="BS59">
        <v>28.7</v>
      </c>
      <c r="BT59" t="s">
        <v>110</v>
      </c>
      <c r="BU59" t="s">
        <v>86</v>
      </c>
      <c r="BV59" t="s">
        <v>86</v>
      </c>
      <c r="BW59" t="s">
        <v>86</v>
      </c>
      <c r="BX59" t="s">
        <v>96</v>
      </c>
      <c r="BY59" t="s">
        <v>86</v>
      </c>
      <c r="BZ59" t="s">
        <v>86</v>
      </c>
      <c r="CA59">
        <v>6</v>
      </c>
      <c r="CB59" t="s">
        <v>97</v>
      </c>
      <c r="CC59" t="s">
        <v>86</v>
      </c>
    </row>
    <row r="60" spans="1:81">
      <c r="A60" t="s">
        <v>246</v>
      </c>
      <c r="B60" t="s">
        <v>247</v>
      </c>
      <c r="C60" t="s">
        <v>345</v>
      </c>
      <c r="D60" t="s">
        <v>83</v>
      </c>
      <c r="E60">
        <v>39</v>
      </c>
      <c r="F60" t="s">
        <v>113</v>
      </c>
      <c r="G60">
        <v>85.8</v>
      </c>
      <c r="H60">
        <v>165</v>
      </c>
      <c r="I60">
        <v>31.5</v>
      </c>
      <c r="J60">
        <v>101.3</v>
      </c>
      <c r="K60" t="s">
        <v>100</v>
      </c>
      <c r="L60" t="s">
        <v>86</v>
      </c>
      <c r="M60" t="s">
        <v>87</v>
      </c>
      <c r="N60" t="s">
        <v>86</v>
      </c>
      <c r="O60" t="s">
        <v>86</v>
      </c>
      <c r="P60" t="s">
        <v>157</v>
      </c>
      <c r="Q60">
        <v>14</v>
      </c>
      <c r="R60" t="s">
        <v>86</v>
      </c>
      <c r="S60" t="s">
        <v>87</v>
      </c>
      <c r="T60" t="s">
        <v>89</v>
      </c>
      <c r="U60">
        <v>74</v>
      </c>
      <c r="V60">
        <v>64</v>
      </c>
      <c r="W60">
        <v>67.3</v>
      </c>
      <c r="X60">
        <v>101</v>
      </c>
      <c r="Y60">
        <v>95</v>
      </c>
      <c r="Z60">
        <v>2099</v>
      </c>
      <c r="AA60">
        <v>2171</v>
      </c>
      <c r="AB60">
        <v>72</v>
      </c>
      <c r="AC60">
        <v>5174</v>
      </c>
      <c r="AD60">
        <v>11.9</v>
      </c>
      <c r="AE60">
        <v>2168</v>
      </c>
      <c r="AF60">
        <v>18</v>
      </c>
      <c r="AG60">
        <v>48</v>
      </c>
      <c r="AH60">
        <v>471</v>
      </c>
      <c r="AI60">
        <v>10</v>
      </c>
      <c r="AJ60">
        <v>5.6</v>
      </c>
      <c r="AK60">
        <v>6.4</v>
      </c>
      <c r="AL60">
        <v>156</v>
      </c>
      <c r="AM60">
        <v>46.6</v>
      </c>
      <c r="AN60">
        <v>138</v>
      </c>
      <c r="AO60">
        <v>118</v>
      </c>
      <c r="AP60">
        <v>85</v>
      </c>
      <c r="AQ60">
        <v>11.1</v>
      </c>
      <c r="AR60">
        <v>138.69999999999999</v>
      </c>
      <c r="AS60">
        <v>4.5</v>
      </c>
      <c r="AT60">
        <v>27</v>
      </c>
      <c r="AU60">
        <v>30</v>
      </c>
      <c r="AV60">
        <v>43.2</v>
      </c>
      <c r="AW60">
        <v>3.7</v>
      </c>
      <c r="AX60">
        <v>20.100000000000001</v>
      </c>
      <c r="AY60">
        <v>7.8</v>
      </c>
      <c r="AZ60">
        <v>14.8</v>
      </c>
      <c r="BA60">
        <v>220</v>
      </c>
      <c r="BB60">
        <v>35</v>
      </c>
      <c r="BC60">
        <v>58</v>
      </c>
      <c r="BD60">
        <v>147</v>
      </c>
      <c r="BE60">
        <v>24.7</v>
      </c>
      <c r="BF60" t="s">
        <v>87</v>
      </c>
      <c r="BG60">
        <v>34</v>
      </c>
      <c r="BH60">
        <v>52.6</v>
      </c>
      <c r="BI60">
        <v>-13.8</v>
      </c>
      <c r="BJ60" t="s">
        <v>90</v>
      </c>
      <c r="BK60">
        <v>886</v>
      </c>
      <c r="BL60">
        <v>14</v>
      </c>
      <c r="BM60">
        <v>1.04</v>
      </c>
      <c r="BN60" t="s">
        <v>96</v>
      </c>
      <c r="BO60" t="s">
        <v>92</v>
      </c>
      <c r="BP60" t="s">
        <v>93</v>
      </c>
      <c r="BQ60" t="s">
        <v>94</v>
      </c>
      <c r="BR60">
        <v>1063</v>
      </c>
      <c r="BS60">
        <v>37.1</v>
      </c>
      <c r="BT60" t="s">
        <v>146</v>
      </c>
      <c r="BU60" t="s">
        <v>87</v>
      </c>
      <c r="BV60" t="s">
        <v>87</v>
      </c>
      <c r="BW60" t="s">
        <v>86</v>
      </c>
      <c r="BX60" t="s">
        <v>96</v>
      </c>
      <c r="BY60" t="s">
        <v>86</v>
      </c>
      <c r="BZ60" t="s">
        <v>86</v>
      </c>
      <c r="CA60">
        <v>13</v>
      </c>
      <c r="CB60" t="s">
        <v>104</v>
      </c>
      <c r="CC60" t="s">
        <v>87</v>
      </c>
    </row>
    <row r="61" spans="1:81">
      <c r="A61" t="s">
        <v>248</v>
      </c>
      <c r="B61" t="s">
        <v>249</v>
      </c>
      <c r="C61" t="s">
        <v>345</v>
      </c>
      <c r="D61" t="s">
        <v>83</v>
      </c>
      <c r="E61">
        <v>58</v>
      </c>
      <c r="F61" t="s">
        <v>167</v>
      </c>
      <c r="G61">
        <v>111.6</v>
      </c>
      <c r="H61">
        <v>170</v>
      </c>
      <c r="I61">
        <v>38.6</v>
      </c>
      <c r="J61">
        <v>125.1</v>
      </c>
      <c r="K61" t="s">
        <v>123</v>
      </c>
      <c r="L61" t="s">
        <v>86</v>
      </c>
      <c r="M61" t="s">
        <v>87</v>
      </c>
      <c r="N61" t="s">
        <v>86</v>
      </c>
      <c r="O61" t="s">
        <v>87</v>
      </c>
      <c r="P61" t="s">
        <v>129</v>
      </c>
      <c r="Q61">
        <v>29</v>
      </c>
      <c r="R61" t="s">
        <v>87</v>
      </c>
      <c r="S61" t="s">
        <v>86</v>
      </c>
      <c r="T61" t="s">
        <v>102</v>
      </c>
      <c r="U61">
        <v>147</v>
      </c>
      <c r="V61">
        <v>98</v>
      </c>
      <c r="W61">
        <v>114.3</v>
      </c>
      <c r="X61">
        <v>104</v>
      </c>
      <c r="Y61">
        <v>97</v>
      </c>
      <c r="Z61">
        <v>6773</v>
      </c>
      <c r="AA61">
        <v>10987</v>
      </c>
      <c r="AB61">
        <v>4214</v>
      </c>
      <c r="AC61">
        <v>11284</v>
      </c>
      <c r="AD61">
        <v>46.5</v>
      </c>
      <c r="AE61">
        <v>8331</v>
      </c>
      <c r="AF61">
        <v>28.5</v>
      </c>
      <c r="AG61">
        <v>58</v>
      </c>
      <c r="AH61">
        <v>607</v>
      </c>
      <c r="AI61">
        <v>22.9</v>
      </c>
      <c r="AJ61">
        <v>6</v>
      </c>
      <c r="AK61">
        <v>6.6</v>
      </c>
      <c r="AL61">
        <v>191</v>
      </c>
      <c r="AM61">
        <v>38</v>
      </c>
      <c r="AN61">
        <v>235</v>
      </c>
      <c r="AO61">
        <v>110</v>
      </c>
      <c r="AP61">
        <v>78</v>
      </c>
      <c r="AQ61">
        <v>9.3000000000000007</v>
      </c>
      <c r="AR61">
        <v>137</v>
      </c>
      <c r="AS61">
        <v>5.2</v>
      </c>
      <c r="AT61">
        <v>70</v>
      </c>
      <c r="AU61">
        <v>74</v>
      </c>
      <c r="AV61">
        <v>37</v>
      </c>
      <c r="AW61">
        <v>1.8</v>
      </c>
      <c r="AX61">
        <v>9.6</v>
      </c>
      <c r="AY61">
        <v>4</v>
      </c>
      <c r="AZ61">
        <v>17.7</v>
      </c>
      <c r="BA61">
        <v>259</v>
      </c>
      <c r="BB61">
        <v>30</v>
      </c>
      <c r="BC61">
        <v>57</v>
      </c>
      <c r="BD61">
        <v>154</v>
      </c>
      <c r="BE61">
        <v>23.3</v>
      </c>
      <c r="BF61" t="s">
        <v>86</v>
      </c>
      <c r="BG61">
        <v>33</v>
      </c>
      <c r="BH61">
        <v>41.9</v>
      </c>
      <c r="BI61">
        <v>-11</v>
      </c>
      <c r="BJ61" t="s">
        <v>90</v>
      </c>
      <c r="BK61">
        <v>675</v>
      </c>
      <c r="BL61">
        <v>33</v>
      </c>
      <c r="BM61">
        <v>0.92</v>
      </c>
      <c r="BN61" t="s">
        <v>96</v>
      </c>
      <c r="BO61" t="s">
        <v>92</v>
      </c>
      <c r="BP61" t="s">
        <v>93</v>
      </c>
      <c r="BQ61" t="s">
        <v>103</v>
      </c>
      <c r="BR61">
        <v>1163</v>
      </c>
      <c r="BS61">
        <v>31.8</v>
      </c>
      <c r="BT61" t="s">
        <v>131</v>
      </c>
      <c r="BU61" t="s">
        <v>87</v>
      </c>
      <c r="BV61" t="s">
        <v>87</v>
      </c>
      <c r="BW61" t="s">
        <v>87</v>
      </c>
      <c r="BX61" t="s">
        <v>96</v>
      </c>
      <c r="BY61" t="s">
        <v>86</v>
      </c>
      <c r="BZ61" t="s">
        <v>86</v>
      </c>
      <c r="CA61">
        <v>8</v>
      </c>
      <c r="CB61" t="s">
        <v>120</v>
      </c>
      <c r="CC61" t="s">
        <v>87</v>
      </c>
    </row>
    <row r="62" spans="1:81">
      <c r="A62" t="s">
        <v>250</v>
      </c>
      <c r="B62" t="s">
        <v>251</v>
      </c>
      <c r="C62" t="s">
        <v>345</v>
      </c>
      <c r="D62" t="s">
        <v>83</v>
      </c>
      <c r="E62">
        <v>42</v>
      </c>
      <c r="F62" t="s">
        <v>128</v>
      </c>
      <c r="G62">
        <v>105.5</v>
      </c>
      <c r="H62">
        <v>181</v>
      </c>
      <c r="I62">
        <v>32.200000000000003</v>
      </c>
      <c r="J62">
        <v>106.5</v>
      </c>
      <c r="K62" t="s">
        <v>100</v>
      </c>
      <c r="L62" t="s">
        <v>87</v>
      </c>
      <c r="M62" t="s">
        <v>87</v>
      </c>
      <c r="N62" t="s">
        <v>86</v>
      </c>
      <c r="O62" t="s">
        <v>87</v>
      </c>
      <c r="P62" t="s">
        <v>88</v>
      </c>
      <c r="Q62">
        <v>2</v>
      </c>
      <c r="R62" t="s">
        <v>87</v>
      </c>
      <c r="S62" t="s">
        <v>87</v>
      </c>
      <c r="T62" t="s">
        <v>102</v>
      </c>
      <c r="U62">
        <v>129</v>
      </c>
      <c r="V62">
        <v>84</v>
      </c>
      <c r="W62">
        <v>99</v>
      </c>
      <c r="X62">
        <v>88</v>
      </c>
      <c r="Y62">
        <v>91</v>
      </c>
      <c r="Z62">
        <v>1130</v>
      </c>
      <c r="AA62">
        <v>1629</v>
      </c>
      <c r="AB62">
        <v>499</v>
      </c>
      <c r="AC62">
        <v>9201</v>
      </c>
      <c r="AD62">
        <v>29.6</v>
      </c>
      <c r="AE62">
        <v>1202</v>
      </c>
      <c r="AF62">
        <v>21.9</v>
      </c>
      <c r="AG62">
        <v>54</v>
      </c>
      <c r="AH62">
        <v>871</v>
      </c>
      <c r="AI62">
        <v>15.3</v>
      </c>
      <c r="AJ62">
        <v>5.4</v>
      </c>
      <c r="AK62">
        <v>6.8</v>
      </c>
      <c r="AL62">
        <v>182</v>
      </c>
      <c r="AM62">
        <v>35.200000000000003</v>
      </c>
      <c r="AN62">
        <v>139</v>
      </c>
      <c r="AO62">
        <v>87</v>
      </c>
      <c r="AP62">
        <v>117</v>
      </c>
      <c r="AQ62">
        <v>8.8000000000000007</v>
      </c>
      <c r="AR62">
        <v>131.69999999999999</v>
      </c>
      <c r="AS62">
        <v>4.5</v>
      </c>
      <c r="AT62">
        <v>95</v>
      </c>
      <c r="AU62">
        <v>76</v>
      </c>
      <c r="AV62">
        <v>39.799999999999997</v>
      </c>
      <c r="AW62">
        <v>2.2000000000000002</v>
      </c>
      <c r="AX62">
        <v>9.3000000000000007</v>
      </c>
      <c r="AY62">
        <v>7.8</v>
      </c>
      <c r="AZ62">
        <v>14.3</v>
      </c>
      <c r="BA62">
        <v>368</v>
      </c>
      <c r="BB62">
        <v>38</v>
      </c>
      <c r="BC62">
        <v>60</v>
      </c>
      <c r="BD62">
        <v>186</v>
      </c>
      <c r="BE62">
        <v>17.600000000000001</v>
      </c>
      <c r="BF62" t="s">
        <v>86</v>
      </c>
      <c r="BG62">
        <v>24</v>
      </c>
      <c r="BH62">
        <v>41.6</v>
      </c>
      <c r="BI62">
        <v>-16.2</v>
      </c>
      <c r="BJ62" t="s">
        <v>90</v>
      </c>
      <c r="BK62">
        <v>767</v>
      </c>
      <c r="BL62">
        <v>11</v>
      </c>
      <c r="BM62">
        <v>0.84</v>
      </c>
      <c r="BN62" t="s">
        <v>135</v>
      </c>
      <c r="BO62" t="s">
        <v>92</v>
      </c>
      <c r="BP62" t="s">
        <v>93</v>
      </c>
      <c r="BQ62" t="s">
        <v>103</v>
      </c>
      <c r="BR62">
        <v>1058</v>
      </c>
      <c r="BS62">
        <v>28.5</v>
      </c>
      <c r="BT62" t="s">
        <v>131</v>
      </c>
      <c r="BU62" t="s">
        <v>86</v>
      </c>
      <c r="BV62" t="s">
        <v>86</v>
      </c>
      <c r="BW62" t="s">
        <v>86</v>
      </c>
      <c r="BX62" t="s">
        <v>96</v>
      </c>
      <c r="BY62" t="s">
        <v>86</v>
      </c>
      <c r="BZ62" t="s">
        <v>86</v>
      </c>
      <c r="CA62">
        <v>14</v>
      </c>
      <c r="CB62" t="s">
        <v>97</v>
      </c>
      <c r="CC62" t="s">
        <v>86</v>
      </c>
    </row>
    <row r="63" spans="1:81">
      <c r="A63" t="s">
        <v>252</v>
      </c>
      <c r="B63" t="s">
        <v>253</v>
      </c>
      <c r="C63" t="s">
        <v>345</v>
      </c>
      <c r="D63" t="s">
        <v>83</v>
      </c>
      <c r="E63">
        <v>62</v>
      </c>
      <c r="F63" t="s">
        <v>128</v>
      </c>
      <c r="G63">
        <v>92.7</v>
      </c>
      <c r="H63">
        <v>181</v>
      </c>
      <c r="I63">
        <v>28.3</v>
      </c>
      <c r="J63">
        <v>96.6</v>
      </c>
      <c r="K63" t="s">
        <v>114</v>
      </c>
      <c r="L63" t="s">
        <v>86</v>
      </c>
      <c r="M63" t="s">
        <v>87</v>
      </c>
      <c r="N63" t="s">
        <v>87</v>
      </c>
      <c r="O63" t="s">
        <v>87</v>
      </c>
      <c r="P63" t="s">
        <v>134</v>
      </c>
      <c r="Q63">
        <v>0</v>
      </c>
      <c r="R63" t="s">
        <v>86</v>
      </c>
      <c r="S63" t="s">
        <v>87</v>
      </c>
      <c r="T63" t="s">
        <v>124</v>
      </c>
      <c r="U63">
        <v>133</v>
      </c>
      <c r="V63">
        <v>95</v>
      </c>
      <c r="W63">
        <v>107.7</v>
      </c>
      <c r="X63">
        <v>74</v>
      </c>
      <c r="Y63">
        <v>96</v>
      </c>
      <c r="Z63">
        <v>471</v>
      </c>
      <c r="AA63">
        <v>454</v>
      </c>
      <c r="AB63">
        <v>-17</v>
      </c>
      <c r="AC63">
        <v>8869</v>
      </c>
      <c r="AD63">
        <v>32.9</v>
      </c>
      <c r="AE63">
        <v>6405</v>
      </c>
      <c r="AF63">
        <v>32.9</v>
      </c>
      <c r="AG63">
        <v>39</v>
      </c>
      <c r="AH63">
        <v>193</v>
      </c>
      <c r="AI63">
        <v>4.4000000000000004</v>
      </c>
      <c r="AJ63">
        <v>8.4</v>
      </c>
      <c r="AK63">
        <v>9.1999999999999993</v>
      </c>
      <c r="AL63">
        <v>176</v>
      </c>
      <c r="AM63">
        <v>43.7</v>
      </c>
      <c r="AN63">
        <v>150</v>
      </c>
      <c r="AO63">
        <v>149</v>
      </c>
      <c r="AP63">
        <v>54</v>
      </c>
      <c r="AQ63">
        <v>10.9</v>
      </c>
      <c r="AR63">
        <v>138.19999999999999</v>
      </c>
      <c r="AS63">
        <v>4.7</v>
      </c>
      <c r="AT63">
        <v>90</v>
      </c>
      <c r="AU63">
        <v>59</v>
      </c>
      <c r="AV63">
        <v>34.200000000000003</v>
      </c>
      <c r="AW63">
        <v>2.4</v>
      </c>
      <c r="AX63">
        <v>6.5</v>
      </c>
      <c r="AY63">
        <v>2.9</v>
      </c>
      <c r="AZ63">
        <v>14.5</v>
      </c>
      <c r="BA63">
        <v>239</v>
      </c>
      <c r="BB63">
        <v>37</v>
      </c>
      <c r="BC63">
        <v>51</v>
      </c>
      <c r="BD63">
        <v>54</v>
      </c>
      <c r="BE63">
        <v>20.7</v>
      </c>
      <c r="BF63" t="s">
        <v>87</v>
      </c>
      <c r="BG63">
        <v>39</v>
      </c>
      <c r="BH63">
        <v>27.5</v>
      </c>
      <c r="BI63">
        <v>-12</v>
      </c>
      <c r="BJ63" t="s">
        <v>115</v>
      </c>
      <c r="BK63">
        <v>409</v>
      </c>
      <c r="BL63">
        <v>48</v>
      </c>
      <c r="BM63">
        <v>0.64</v>
      </c>
      <c r="BN63" t="s">
        <v>91</v>
      </c>
      <c r="BO63" t="s">
        <v>92</v>
      </c>
      <c r="BP63" t="s">
        <v>93</v>
      </c>
      <c r="BQ63" t="s">
        <v>103</v>
      </c>
      <c r="BR63">
        <v>1079</v>
      </c>
      <c r="BS63">
        <v>33.700000000000003</v>
      </c>
      <c r="BT63" t="s">
        <v>110</v>
      </c>
      <c r="BU63" t="s">
        <v>86</v>
      </c>
      <c r="BV63" t="s">
        <v>86</v>
      </c>
      <c r="BW63" t="s">
        <v>86</v>
      </c>
      <c r="BX63" t="s">
        <v>96</v>
      </c>
      <c r="BY63" t="s">
        <v>86</v>
      </c>
      <c r="BZ63" t="s">
        <v>86</v>
      </c>
      <c r="CA63">
        <v>8</v>
      </c>
      <c r="CB63" t="s">
        <v>97</v>
      </c>
      <c r="CC63" t="s">
        <v>86</v>
      </c>
    </row>
    <row r="64" spans="1:81">
      <c r="A64" t="s">
        <v>254</v>
      </c>
      <c r="B64" t="s">
        <v>255</v>
      </c>
      <c r="C64" t="s">
        <v>345</v>
      </c>
      <c r="D64" t="s">
        <v>83</v>
      </c>
      <c r="E64">
        <v>30</v>
      </c>
      <c r="F64" t="s">
        <v>107</v>
      </c>
      <c r="G64">
        <v>107.8</v>
      </c>
      <c r="H64">
        <v>185</v>
      </c>
      <c r="I64">
        <v>31.5</v>
      </c>
      <c r="J64">
        <v>106.5</v>
      </c>
      <c r="K64" t="s">
        <v>100</v>
      </c>
      <c r="L64" t="s">
        <v>86</v>
      </c>
      <c r="M64" t="s">
        <v>87</v>
      </c>
      <c r="N64" t="s">
        <v>87</v>
      </c>
      <c r="O64" t="s">
        <v>86</v>
      </c>
      <c r="P64" t="s">
        <v>108</v>
      </c>
      <c r="Q64">
        <v>7</v>
      </c>
      <c r="R64" t="s">
        <v>87</v>
      </c>
      <c r="S64" t="s">
        <v>86</v>
      </c>
      <c r="T64" t="s">
        <v>89</v>
      </c>
      <c r="U64">
        <v>110</v>
      </c>
      <c r="V64">
        <v>94</v>
      </c>
      <c r="W64">
        <v>99.3</v>
      </c>
      <c r="X64">
        <v>144</v>
      </c>
      <c r="Y64">
        <v>90</v>
      </c>
      <c r="Z64">
        <v>2458</v>
      </c>
      <c r="AA64">
        <v>2738</v>
      </c>
      <c r="AB64">
        <v>280</v>
      </c>
      <c r="AC64">
        <v>10022</v>
      </c>
      <c r="AD64">
        <v>37.5</v>
      </c>
      <c r="AE64">
        <v>7586</v>
      </c>
      <c r="AF64">
        <v>136.6</v>
      </c>
      <c r="AG64">
        <v>74</v>
      </c>
      <c r="AH64">
        <v>860</v>
      </c>
      <c r="AI64">
        <v>24.3</v>
      </c>
      <c r="AJ64">
        <v>6.9</v>
      </c>
      <c r="AK64">
        <v>9.6999999999999993</v>
      </c>
      <c r="AL64">
        <v>73</v>
      </c>
      <c r="AM64">
        <v>57.4</v>
      </c>
      <c r="AN64">
        <v>121</v>
      </c>
      <c r="AO64">
        <v>168</v>
      </c>
      <c r="AP64">
        <v>63</v>
      </c>
      <c r="AQ64">
        <v>6.4</v>
      </c>
      <c r="AR64">
        <v>136.6</v>
      </c>
      <c r="AS64">
        <v>4.7</v>
      </c>
      <c r="AT64">
        <v>80</v>
      </c>
      <c r="AU64">
        <v>68</v>
      </c>
      <c r="AV64">
        <v>26.5</v>
      </c>
      <c r="AW64">
        <v>3.2</v>
      </c>
      <c r="AX64">
        <v>16.7</v>
      </c>
      <c r="AY64">
        <v>8.1999999999999993</v>
      </c>
      <c r="AZ64">
        <v>12.6</v>
      </c>
      <c r="BA64">
        <v>129</v>
      </c>
      <c r="BB64">
        <v>19</v>
      </c>
      <c r="BC64">
        <v>70</v>
      </c>
      <c r="BD64">
        <v>171</v>
      </c>
      <c r="BE64">
        <v>21.3</v>
      </c>
      <c r="BF64" t="s">
        <v>86</v>
      </c>
      <c r="BG64">
        <v>52</v>
      </c>
      <c r="BH64">
        <v>52.5</v>
      </c>
      <c r="BI64">
        <v>-6.6</v>
      </c>
      <c r="BJ64" t="s">
        <v>90</v>
      </c>
      <c r="BK64">
        <v>0</v>
      </c>
      <c r="BL64">
        <v>41</v>
      </c>
      <c r="BM64">
        <v>1.03</v>
      </c>
      <c r="BN64" t="s">
        <v>96</v>
      </c>
      <c r="BO64" t="s">
        <v>109</v>
      </c>
      <c r="BP64" t="s">
        <v>93</v>
      </c>
      <c r="BQ64" t="s">
        <v>94</v>
      </c>
      <c r="BR64">
        <v>1098</v>
      </c>
      <c r="BS64">
        <v>32.6</v>
      </c>
      <c r="BT64" t="s">
        <v>110</v>
      </c>
      <c r="BU64" t="s">
        <v>87</v>
      </c>
      <c r="BV64" t="s">
        <v>86</v>
      </c>
      <c r="BW64" t="s">
        <v>87</v>
      </c>
      <c r="BX64" t="s">
        <v>96</v>
      </c>
      <c r="BY64" t="s">
        <v>86</v>
      </c>
      <c r="BZ64" t="s">
        <v>86</v>
      </c>
      <c r="CA64">
        <v>15</v>
      </c>
      <c r="CB64" t="s">
        <v>97</v>
      </c>
      <c r="CC64" t="s">
        <v>87</v>
      </c>
    </row>
    <row r="65" spans="1:81">
      <c r="A65" t="s">
        <v>256</v>
      </c>
      <c r="B65" t="s">
        <v>257</v>
      </c>
      <c r="C65" t="s">
        <v>345</v>
      </c>
      <c r="D65" t="s">
        <v>83</v>
      </c>
      <c r="E65">
        <v>51</v>
      </c>
      <c r="F65" t="s">
        <v>128</v>
      </c>
      <c r="G65">
        <v>106.8</v>
      </c>
      <c r="H65">
        <v>185</v>
      </c>
      <c r="I65">
        <v>31.2</v>
      </c>
      <c r="J65">
        <v>91.8</v>
      </c>
      <c r="K65" t="s">
        <v>100</v>
      </c>
      <c r="L65" t="s">
        <v>86</v>
      </c>
      <c r="M65" t="s">
        <v>87</v>
      </c>
      <c r="N65" t="s">
        <v>87</v>
      </c>
      <c r="O65" t="s">
        <v>87</v>
      </c>
      <c r="P65" t="s">
        <v>129</v>
      </c>
      <c r="Q65">
        <v>29</v>
      </c>
      <c r="R65" t="s">
        <v>86</v>
      </c>
      <c r="S65" t="s">
        <v>86</v>
      </c>
      <c r="T65" t="s">
        <v>124</v>
      </c>
      <c r="U65">
        <v>103</v>
      </c>
      <c r="V65">
        <v>79</v>
      </c>
      <c r="W65">
        <v>87</v>
      </c>
      <c r="X65">
        <v>90</v>
      </c>
      <c r="Y65">
        <v>93</v>
      </c>
      <c r="Z65">
        <v>437</v>
      </c>
      <c r="AA65">
        <v>698</v>
      </c>
      <c r="AB65">
        <v>261</v>
      </c>
      <c r="AC65">
        <v>6075</v>
      </c>
      <c r="AD65">
        <v>27.9</v>
      </c>
      <c r="AE65">
        <v>2101</v>
      </c>
      <c r="AF65">
        <v>26.2</v>
      </c>
      <c r="AG65">
        <v>57</v>
      </c>
      <c r="AH65">
        <v>555</v>
      </c>
      <c r="AI65">
        <v>52</v>
      </c>
      <c r="AJ65">
        <v>6.9</v>
      </c>
      <c r="AK65">
        <v>13</v>
      </c>
      <c r="AL65">
        <v>213</v>
      </c>
      <c r="AM65">
        <v>24</v>
      </c>
      <c r="AN65">
        <v>129</v>
      </c>
      <c r="AO65">
        <v>103</v>
      </c>
      <c r="AP65">
        <v>90</v>
      </c>
      <c r="AQ65">
        <v>6.1</v>
      </c>
      <c r="AR65">
        <v>140.19999999999999</v>
      </c>
      <c r="AS65">
        <v>4.4000000000000004</v>
      </c>
      <c r="AT65">
        <v>30</v>
      </c>
      <c r="AU65">
        <v>59</v>
      </c>
      <c r="AV65">
        <v>33.9</v>
      </c>
      <c r="AW65">
        <v>1.9</v>
      </c>
      <c r="AX65">
        <v>11.8</v>
      </c>
      <c r="AY65">
        <v>5.7</v>
      </c>
      <c r="AZ65">
        <v>12.2</v>
      </c>
      <c r="BA65">
        <v>153</v>
      </c>
      <c r="BB65">
        <v>33</v>
      </c>
      <c r="BC65">
        <v>83</v>
      </c>
      <c r="BD65">
        <v>167</v>
      </c>
      <c r="BE65">
        <v>27.6</v>
      </c>
      <c r="BF65" t="s">
        <v>86</v>
      </c>
      <c r="BG65">
        <v>33</v>
      </c>
      <c r="BH65">
        <v>33.799999999999997</v>
      </c>
      <c r="BI65">
        <v>-9.9</v>
      </c>
      <c r="BJ65" t="s">
        <v>125</v>
      </c>
      <c r="BK65">
        <v>844</v>
      </c>
      <c r="BL65">
        <v>9</v>
      </c>
      <c r="BM65">
        <v>0.94</v>
      </c>
      <c r="BN65" t="s">
        <v>96</v>
      </c>
      <c r="BO65" t="s">
        <v>92</v>
      </c>
      <c r="BP65" t="s">
        <v>93</v>
      </c>
      <c r="BQ65" t="s">
        <v>94</v>
      </c>
      <c r="BR65">
        <v>1155</v>
      </c>
      <c r="BS65">
        <v>35.6</v>
      </c>
      <c r="BT65" t="s">
        <v>153</v>
      </c>
      <c r="BU65" t="s">
        <v>86</v>
      </c>
      <c r="BV65" t="s">
        <v>86</v>
      </c>
      <c r="BW65" t="s">
        <v>86</v>
      </c>
      <c r="BX65" t="s">
        <v>96</v>
      </c>
      <c r="BY65" t="s">
        <v>86</v>
      </c>
      <c r="BZ65" t="s">
        <v>86</v>
      </c>
      <c r="CA65">
        <v>10</v>
      </c>
      <c r="CB65" t="s">
        <v>97</v>
      </c>
      <c r="CC65" t="s">
        <v>86</v>
      </c>
    </row>
    <row r="66" spans="1:81">
      <c r="A66" t="s">
        <v>258</v>
      </c>
      <c r="B66" t="s">
        <v>259</v>
      </c>
      <c r="C66" t="s">
        <v>345</v>
      </c>
      <c r="D66" t="s">
        <v>83</v>
      </c>
      <c r="E66">
        <v>63</v>
      </c>
      <c r="F66" t="s">
        <v>84</v>
      </c>
      <c r="G66">
        <v>94.3</v>
      </c>
      <c r="H66">
        <v>169</v>
      </c>
      <c r="I66">
        <v>33</v>
      </c>
      <c r="J66">
        <v>102.7</v>
      </c>
      <c r="K66" t="s">
        <v>100</v>
      </c>
      <c r="L66" t="s">
        <v>87</v>
      </c>
      <c r="M66" t="s">
        <v>87</v>
      </c>
      <c r="N66" t="s">
        <v>87</v>
      </c>
      <c r="O66" t="s">
        <v>87</v>
      </c>
      <c r="P66" t="s">
        <v>101</v>
      </c>
      <c r="Q66">
        <v>9</v>
      </c>
      <c r="R66" t="s">
        <v>87</v>
      </c>
      <c r="S66" t="s">
        <v>87</v>
      </c>
      <c r="T66" t="s">
        <v>102</v>
      </c>
      <c r="U66">
        <v>179</v>
      </c>
      <c r="V66">
        <v>70</v>
      </c>
      <c r="W66">
        <v>106.3</v>
      </c>
      <c r="X66">
        <v>84</v>
      </c>
      <c r="Y66">
        <v>94</v>
      </c>
      <c r="Z66">
        <v>1338</v>
      </c>
      <c r="AA66">
        <v>1903</v>
      </c>
      <c r="AB66">
        <v>565</v>
      </c>
      <c r="AC66">
        <v>8140</v>
      </c>
      <c r="AD66">
        <v>20.100000000000001</v>
      </c>
      <c r="AE66">
        <v>1182</v>
      </c>
      <c r="AF66">
        <v>62.9</v>
      </c>
      <c r="AG66">
        <v>64</v>
      </c>
      <c r="AH66">
        <v>400</v>
      </c>
      <c r="AI66">
        <v>11.5</v>
      </c>
      <c r="AJ66">
        <v>8.8000000000000007</v>
      </c>
      <c r="AK66">
        <v>9.1999999999999993</v>
      </c>
      <c r="AL66">
        <v>173</v>
      </c>
      <c r="AM66">
        <v>36.299999999999997</v>
      </c>
      <c r="AN66">
        <v>277</v>
      </c>
      <c r="AO66">
        <v>90</v>
      </c>
      <c r="AP66">
        <v>86</v>
      </c>
      <c r="AQ66">
        <v>3.2</v>
      </c>
      <c r="AR66">
        <v>135</v>
      </c>
      <c r="AS66">
        <v>4.5</v>
      </c>
      <c r="AT66">
        <v>31</v>
      </c>
      <c r="AU66">
        <v>78</v>
      </c>
      <c r="AV66">
        <v>38.4</v>
      </c>
      <c r="AW66">
        <v>2.4</v>
      </c>
      <c r="AX66">
        <v>7.3</v>
      </c>
      <c r="AY66">
        <v>4</v>
      </c>
      <c r="AZ66">
        <v>14.4</v>
      </c>
      <c r="BA66">
        <v>323</v>
      </c>
      <c r="BB66">
        <v>16</v>
      </c>
      <c r="BC66">
        <v>65</v>
      </c>
      <c r="BD66">
        <v>125</v>
      </c>
      <c r="BE66">
        <v>19.5</v>
      </c>
      <c r="BF66" t="s">
        <v>86</v>
      </c>
      <c r="BG66">
        <v>40</v>
      </c>
      <c r="BH66">
        <v>46.2</v>
      </c>
      <c r="BI66">
        <v>-11.4</v>
      </c>
      <c r="BJ66" t="s">
        <v>118</v>
      </c>
      <c r="BK66">
        <v>713</v>
      </c>
      <c r="BL66">
        <v>36</v>
      </c>
      <c r="BM66">
        <v>0.8</v>
      </c>
      <c r="BN66" t="s">
        <v>91</v>
      </c>
      <c r="BO66" t="s">
        <v>92</v>
      </c>
      <c r="BP66" t="s">
        <v>93</v>
      </c>
      <c r="BQ66" t="s">
        <v>94</v>
      </c>
      <c r="BR66">
        <v>1155</v>
      </c>
      <c r="BS66">
        <v>40.799999999999997</v>
      </c>
      <c r="BT66" t="s">
        <v>153</v>
      </c>
      <c r="BU66" t="s">
        <v>87</v>
      </c>
      <c r="BV66" t="s">
        <v>86</v>
      </c>
      <c r="BW66" t="s">
        <v>87</v>
      </c>
      <c r="BX66" t="s">
        <v>96</v>
      </c>
      <c r="BY66" t="s">
        <v>86</v>
      </c>
      <c r="BZ66" t="s">
        <v>86</v>
      </c>
      <c r="CA66">
        <v>10</v>
      </c>
      <c r="CB66" t="s">
        <v>104</v>
      </c>
      <c r="CC66" t="s">
        <v>87</v>
      </c>
    </row>
    <row r="67" spans="1:81">
      <c r="A67" t="s">
        <v>260</v>
      </c>
      <c r="B67" t="s">
        <v>261</v>
      </c>
      <c r="C67" t="s">
        <v>345</v>
      </c>
      <c r="D67" t="s">
        <v>83</v>
      </c>
      <c r="E67">
        <v>59</v>
      </c>
      <c r="F67" t="s">
        <v>128</v>
      </c>
      <c r="G67">
        <v>110.4</v>
      </c>
      <c r="H67">
        <v>184</v>
      </c>
      <c r="I67">
        <v>32.6</v>
      </c>
      <c r="J67">
        <v>99</v>
      </c>
      <c r="K67" t="s">
        <v>100</v>
      </c>
      <c r="L67" t="s">
        <v>86</v>
      </c>
      <c r="M67" t="s">
        <v>87</v>
      </c>
      <c r="N67" t="s">
        <v>87</v>
      </c>
      <c r="O67" t="s">
        <v>87</v>
      </c>
      <c r="P67" t="s">
        <v>134</v>
      </c>
      <c r="Q67">
        <v>0</v>
      </c>
      <c r="R67" t="s">
        <v>86</v>
      </c>
      <c r="S67" t="s">
        <v>87</v>
      </c>
      <c r="T67" t="s">
        <v>89</v>
      </c>
      <c r="U67">
        <v>123</v>
      </c>
      <c r="V67">
        <v>90</v>
      </c>
      <c r="W67">
        <v>101</v>
      </c>
      <c r="X67">
        <v>140</v>
      </c>
      <c r="Y67">
        <v>98</v>
      </c>
      <c r="Z67">
        <v>7077</v>
      </c>
      <c r="AA67">
        <v>9451</v>
      </c>
      <c r="AB67">
        <v>2374</v>
      </c>
      <c r="AC67">
        <v>9065</v>
      </c>
      <c r="AD67">
        <v>40.700000000000003</v>
      </c>
      <c r="AE67">
        <v>438</v>
      </c>
      <c r="AF67">
        <v>8</v>
      </c>
      <c r="AG67">
        <v>19</v>
      </c>
      <c r="AH67">
        <v>211</v>
      </c>
      <c r="AI67">
        <v>2.5</v>
      </c>
      <c r="AJ67">
        <v>6.8</v>
      </c>
      <c r="AK67">
        <v>13.1</v>
      </c>
      <c r="AL67">
        <v>198</v>
      </c>
      <c r="AM67">
        <v>33.9</v>
      </c>
      <c r="AN67">
        <v>205</v>
      </c>
      <c r="AO67">
        <v>135</v>
      </c>
      <c r="AP67">
        <v>63</v>
      </c>
      <c r="AQ67">
        <v>10.3</v>
      </c>
      <c r="AR67">
        <v>137.6</v>
      </c>
      <c r="AS67">
        <v>4.9000000000000004</v>
      </c>
      <c r="AT67">
        <v>32</v>
      </c>
      <c r="AU67">
        <v>42</v>
      </c>
      <c r="AV67">
        <v>40.700000000000003</v>
      </c>
      <c r="AW67">
        <v>2.6</v>
      </c>
      <c r="AX67">
        <v>20</v>
      </c>
      <c r="AY67">
        <v>4.3</v>
      </c>
      <c r="AZ67">
        <v>15.6</v>
      </c>
      <c r="BA67">
        <v>388</v>
      </c>
      <c r="BB67">
        <v>23</v>
      </c>
      <c r="BC67">
        <v>68</v>
      </c>
      <c r="BD67">
        <v>161</v>
      </c>
      <c r="BE67">
        <v>23.4</v>
      </c>
      <c r="BF67" t="s">
        <v>87</v>
      </c>
      <c r="BG67">
        <v>46</v>
      </c>
      <c r="BH67">
        <v>48.6</v>
      </c>
      <c r="BI67">
        <v>-12.2</v>
      </c>
      <c r="BJ67" t="s">
        <v>118</v>
      </c>
      <c r="BK67">
        <v>1410</v>
      </c>
      <c r="BL67">
        <v>41</v>
      </c>
      <c r="BM67">
        <v>0.92</v>
      </c>
      <c r="BN67" t="s">
        <v>96</v>
      </c>
      <c r="BO67" t="s">
        <v>92</v>
      </c>
      <c r="BP67" t="s">
        <v>93</v>
      </c>
      <c r="BQ67" t="s">
        <v>103</v>
      </c>
      <c r="BR67">
        <v>1144</v>
      </c>
      <c r="BS67">
        <v>31.8</v>
      </c>
      <c r="BT67" t="s">
        <v>146</v>
      </c>
      <c r="BU67" t="s">
        <v>87</v>
      </c>
      <c r="BV67" t="s">
        <v>87</v>
      </c>
      <c r="BW67" t="s">
        <v>86</v>
      </c>
      <c r="BX67" t="s">
        <v>96</v>
      </c>
      <c r="BY67" t="s">
        <v>86</v>
      </c>
      <c r="BZ67" t="s">
        <v>86</v>
      </c>
      <c r="CA67">
        <v>15</v>
      </c>
      <c r="CB67" t="s">
        <v>97</v>
      </c>
      <c r="CC67" t="s">
        <v>87</v>
      </c>
    </row>
    <row r="68" spans="1:81">
      <c r="A68" t="s">
        <v>262</v>
      </c>
      <c r="B68" t="s">
        <v>263</v>
      </c>
      <c r="C68" t="s">
        <v>345</v>
      </c>
      <c r="D68" t="s">
        <v>83</v>
      </c>
      <c r="E68">
        <v>50</v>
      </c>
      <c r="F68" t="s">
        <v>107</v>
      </c>
      <c r="G68">
        <v>93.3</v>
      </c>
      <c r="H68">
        <v>171</v>
      </c>
      <c r="I68">
        <v>31.9</v>
      </c>
      <c r="J68">
        <v>101.2</v>
      </c>
      <c r="K68" t="s">
        <v>100</v>
      </c>
      <c r="L68" t="s">
        <v>87</v>
      </c>
      <c r="M68" t="s">
        <v>87</v>
      </c>
      <c r="N68" t="s">
        <v>86</v>
      </c>
      <c r="O68" t="s">
        <v>86</v>
      </c>
      <c r="P68" t="s">
        <v>88</v>
      </c>
      <c r="Q68">
        <v>8</v>
      </c>
      <c r="R68" t="s">
        <v>87</v>
      </c>
      <c r="S68" t="s">
        <v>87</v>
      </c>
      <c r="T68" t="s">
        <v>124</v>
      </c>
      <c r="U68">
        <v>123</v>
      </c>
      <c r="V68">
        <v>53</v>
      </c>
      <c r="W68">
        <v>76.3</v>
      </c>
      <c r="X68">
        <v>112</v>
      </c>
      <c r="Y68">
        <v>88</v>
      </c>
      <c r="Z68">
        <v>1033</v>
      </c>
      <c r="AA68">
        <v>1097</v>
      </c>
      <c r="AB68">
        <v>64</v>
      </c>
      <c r="AC68">
        <v>5439</v>
      </c>
      <c r="AD68">
        <v>27</v>
      </c>
      <c r="AE68">
        <v>3949</v>
      </c>
      <c r="AF68">
        <v>66.900000000000006</v>
      </c>
      <c r="AG68">
        <v>65</v>
      </c>
      <c r="AH68">
        <v>791</v>
      </c>
      <c r="AI68">
        <v>41.2</v>
      </c>
      <c r="AJ68">
        <v>5.3</v>
      </c>
      <c r="AK68">
        <v>6.6</v>
      </c>
      <c r="AL68">
        <v>168</v>
      </c>
      <c r="AM68">
        <v>52.4</v>
      </c>
      <c r="AN68">
        <v>90</v>
      </c>
      <c r="AO68">
        <v>93</v>
      </c>
      <c r="AP68">
        <v>80</v>
      </c>
      <c r="AQ68">
        <v>8.1</v>
      </c>
      <c r="AR68">
        <v>140.30000000000001</v>
      </c>
      <c r="AS68">
        <v>5.0999999999999996</v>
      </c>
      <c r="AT68">
        <v>91</v>
      </c>
      <c r="AU68">
        <v>90</v>
      </c>
      <c r="AV68">
        <v>38.6</v>
      </c>
      <c r="AW68">
        <v>1.9</v>
      </c>
      <c r="AX68">
        <v>10.9</v>
      </c>
      <c r="AY68">
        <v>9.4</v>
      </c>
      <c r="AZ68">
        <v>19.2</v>
      </c>
      <c r="BA68">
        <v>334</v>
      </c>
      <c r="BB68">
        <v>43</v>
      </c>
      <c r="BC68">
        <v>56</v>
      </c>
      <c r="BD68">
        <v>117</v>
      </c>
      <c r="BE68">
        <v>11.6</v>
      </c>
      <c r="BF68" t="s">
        <v>86</v>
      </c>
      <c r="BG68">
        <v>30</v>
      </c>
      <c r="BH68">
        <v>60.9</v>
      </c>
      <c r="BI68">
        <v>-15.1</v>
      </c>
      <c r="BJ68" t="s">
        <v>125</v>
      </c>
      <c r="BK68">
        <v>291</v>
      </c>
      <c r="BL68">
        <v>7</v>
      </c>
      <c r="BM68">
        <v>1.2</v>
      </c>
      <c r="BN68" t="s">
        <v>96</v>
      </c>
      <c r="BO68" t="s">
        <v>92</v>
      </c>
      <c r="BP68" t="s">
        <v>93</v>
      </c>
      <c r="BQ68" t="s">
        <v>94</v>
      </c>
      <c r="BR68">
        <v>1095</v>
      </c>
      <c r="BS68">
        <v>40.799999999999997</v>
      </c>
      <c r="BT68" t="s">
        <v>143</v>
      </c>
      <c r="BU68" t="s">
        <v>86</v>
      </c>
      <c r="BV68" t="s">
        <v>86</v>
      </c>
      <c r="BW68" t="s">
        <v>86</v>
      </c>
      <c r="BX68" t="s">
        <v>96</v>
      </c>
      <c r="BY68" t="s">
        <v>86</v>
      </c>
      <c r="BZ68" t="s">
        <v>86</v>
      </c>
      <c r="CA68">
        <v>10</v>
      </c>
      <c r="CB68" t="s">
        <v>97</v>
      </c>
      <c r="CC68" t="s">
        <v>86</v>
      </c>
    </row>
    <row r="69" spans="1:81">
      <c r="A69" t="s">
        <v>264</v>
      </c>
      <c r="B69" t="s">
        <v>265</v>
      </c>
      <c r="C69" t="s">
        <v>345</v>
      </c>
      <c r="D69" t="s">
        <v>83</v>
      </c>
      <c r="E69">
        <v>37</v>
      </c>
      <c r="F69" t="s">
        <v>167</v>
      </c>
      <c r="G69">
        <v>111.8</v>
      </c>
      <c r="H69">
        <v>172</v>
      </c>
      <c r="I69">
        <v>37.799999999999997</v>
      </c>
      <c r="J69">
        <v>115.5</v>
      </c>
      <c r="K69" t="s">
        <v>123</v>
      </c>
      <c r="L69" t="s">
        <v>86</v>
      </c>
      <c r="M69" t="s">
        <v>87</v>
      </c>
      <c r="N69" t="s">
        <v>87</v>
      </c>
      <c r="O69" t="s">
        <v>87</v>
      </c>
      <c r="P69" t="s">
        <v>101</v>
      </c>
      <c r="Q69">
        <v>14</v>
      </c>
      <c r="R69" t="s">
        <v>87</v>
      </c>
      <c r="S69" t="s">
        <v>87</v>
      </c>
      <c r="T69" t="s">
        <v>102</v>
      </c>
      <c r="U69">
        <v>114</v>
      </c>
      <c r="V69">
        <v>83</v>
      </c>
      <c r="W69">
        <v>93.3</v>
      </c>
      <c r="X69">
        <v>102</v>
      </c>
      <c r="Y69">
        <v>94</v>
      </c>
      <c r="Z69">
        <v>1036</v>
      </c>
      <c r="AA69">
        <v>1187</v>
      </c>
      <c r="AB69">
        <v>151</v>
      </c>
      <c r="AC69">
        <v>12251</v>
      </c>
      <c r="AD69">
        <v>10.7</v>
      </c>
      <c r="AE69">
        <v>1760</v>
      </c>
      <c r="AF69">
        <v>70.3</v>
      </c>
      <c r="AG69">
        <v>70</v>
      </c>
      <c r="AH69">
        <v>1099</v>
      </c>
      <c r="AI69">
        <v>29</v>
      </c>
      <c r="AJ69">
        <v>9.4</v>
      </c>
      <c r="AK69">
        <v>11.5</v>
      </c>
      <c r="AL69">
        <v>205</v>
      </c>
      <c r="AM69">
        <v>36.6</v>
      </c>
      <c r="AN69">
        <v>103</v>
      </c>
      <c r="AO69">
        <v>113</v>
      </c>
      <c r="AP69">
        <v>88</v>
      </c>
      <c r="AQ69">
        <v>7.5</v>
      </c>
      <c r="AR69">
        <v>140.6</v>
      </c>
      <c r="AS69">
        <v>5</v>
      </c>
      <c r="AT69">
        <v>102</v>
      </c>
      <c r="AU69">
        <v>59</v>
      </c>
      <c r="AV69">
        <v>34.200000000000003</v>
      </c>
      <c r="AW69">
        <v>1.4</v>
      </c>
      <c r="AX69">
        <v>16.600000000000001</v>
      </c>
      <c r="AY69">
        <v>6.6</v>
      </c>
      <c r="AZ69">
        <v>14.9</v>
      </c>
      <c r="BA69">
        <v>358</v>
      </c>
      <c r="BB69">
        <v>27</v>
      </c>
      <c r="BC69">
        <v>61</v>
      </c>
      <c r="BD69">
        <v>142</v>
      </c>
      <c r="BE69">
        <v>9.9</v>
      </c>
      <c r="BF69" t="s">
        <v>86</v>
      </c>
      <c r="BG69">
        <v>33</v>
      </c>
      <c r="BH69">
        <v>26.8</v>
      </c>
      <c r="BI69">
        <v>-7.1</v>
      </c>
      <c r="BJ69" t="s">
        <v>125</v>
      </c>
      <c r="BK69">
        <v>46</v>
      </c>
      <c r="BL69">
        <v>39</v>
      </c>
      <c r="BM69">
        <v>0.86</v>
      </c>
      <c r="BN69" t="s">
        <v>91</v>
      </c>
      <c r="BO69" t="s">
        <v>92</v>
      </c>
      <c r="BP69" t="s">
        <v>93</v>
      </c>
      <c r="BQ69" t="s">
        <v>94</v>
      </c>
      <c r="BR69">
        <v>1094</v>
      </c>
      <c r="BS69">
        <v>38.799999999999997</v>
      </c>
      <c r="BT69" t="s">
        <v>110</v>
      </c>
      <c r="BU69" t="s">
        <v>87</v>
      </c>
      <c r="BV69" t="s">
        <v>86</v>
      </c>
      <c r="BW69" t="s">
        <v>87</v>
      </c>
      <c r="BX69" t="s">
        <v>96</v>
      </c>
      <c r="BY69" t="s">
        <v>86</v>
      </c>
      <c r="BZ69" t="s">
        <v>86</v>
      </c>
      <c r="CA69">
        <v>14</v>
      </c>
      <c r="CB69" t="s">
        <v>97</v>
      </c>
      <c r="CC69" t="s">
        <v>87</v>
      </c>
    </row>
    <row r="70" spans="1:81">
      <c r="A70" t="s">
        <v>266</v>
      </c>
      <c r="B70" t="s">
        <v>267</v>
      </c>
      <c r="C70" t="s">
        <v>345</v>
      </c>
      <c r="D70" t="s">
        <v>83</v>
      </c>
      <c r="E70">
        <v>51</v>
      </c>
      <c r="F70" t="s">
        <v>128</v>
      </c>
      <c r="G70">
        <v>119.1</v>
      </c>
      <c r="H70">
        <v>169</v>
      </c>
      <c r="I70">
        <v>41.7</v>
      </c>
      <c r="J70">
        <v>123.7</v>
      </c>
      <c r="K70" t="s">
        <v>85</v>
      </c>
      <c r="L70" t="s">
        <v>86</v>
      </c>
      <c r="M70" t="s">
        <v>87</v>
      </c>
      <c r="N70" t="s">
        <v>86</v>
      </c>
      <c r="O70" t="s">
        <v>87</v>
      </c>
      <c r="P70" t="s">
        <v>101</v>
      </c>
      <c r="Q70">
        <v>29</v>
      </c>
      <c r="R70" t="s">
        <v>87</v>
      </c>
      <c r="S70" t="s">
        <v>87</v>
      </c>
      <c r="T70" t="s">
        <v>124</v>
      </c>
      <c r="U70">
        <v>103</v>
      </c>
      <c r="V70">
        <v>82</v>
      </c>
      <c r="W70">
        <v>89</v>
      </c>
      <c r="X70">
        <v>77</v>
      </c>
      <c r="Y70">
        <v>89</v>
      </c>
      <c r="Z70">
        <v>2285</v>
      </c>
      <c r="AA70">
        <v>2793</v>
      </c>
      <c r="AB70">
        <v>508</v>
      </c>
      <c r="AC70">
        <v>4251</v>
      </c>
      <c r="AD70">
        <v>32.1</v>
      </c>
      <c r="AE70">
        <v>711</v>
      </c>
      <c r="AF70">
        <v>54.5</v>
      </c>
      <c r="AG70">
        <v>66</v>
      </c>
      <c r="AH70">
        <v>1048</v>
      </c>
      <c r="AI70">
        <v>9.3000000000000007</v>
      </c>
      <c r="AJ70">
        <v>5.7</v>
      </c>
      <c r="AK70">
        <v>6</v>
      </c>
      <c r="AL70">
        <v>159</v>
      </c>
      <c r="AM70">
        <v>38.4</v>
      </c>
      <c r="AN70">
        <v>265</v>
      </c>
      <c r="AO70">
        <v>62</v>
      </c>
      <c r="AP70">
        <v>97</v>
      </c>
      <c r="AQ70">
        <v>6.9</v>
      </c>
      <c r="AR70">
        <v>136.4</v>
      </c>
      <c r="AS70">
        <v>3.6</v>
      </c>
      <c r="AT70">
        <v>63</v>
      </c>
      <c r="AU70">
        <v>103</v>
      </c>
      <c r="AV70">
        <v>31.9</v>
      </c>
      <c r="AW70">
        <v>2.6</v>
      </c>
      <c r="AX70">
        <v>10.7</v>
      </c>
      <c r="AY70">
        <v>4.5999999999999996</v>
      </c>
      <c r="AZ70">
        <v>15.9</v>
      </c>
      <c r="BA70">
        <v>357</v>
      </c>
      <c r="BB70">
        <v>29</v>
      </c>
      <c r="BC70">
        <v>56</v>
      </c>
      <c r="BD70">
        <v>137</v>
      </c>
      <c r="BE70">
        <v>13.6</v>
      </c>
      <c r="BF70" t="s">
        <v>86</v>
      </c>
      <c r="BG70">
        <v>25</v>
      </c>
      <c r="BH70">
        <v>52.9</v>
      </c>
      <c r="BI70">
        <v>-11.8</v>
      </c>
      <c r="BJ70" t="s">
        <v>118</v>
      </c>
      <c r="BK70">
        <v>299</v>
      </c>
      <c r="BL70">
        <v>21</v>
      </c>
      <c r="BM70">
        <v>0.96</v>
      </c>
      <c r="BN70" t="s">
        <v>91</v>
      </c>
      <c r="BO70" t="s">
        <v>92</v>
      </c>
      <c r="BP70" t="s">
        <v>93</v>
      </c>
      <c r="BQ70" t="s">
        <v>103</v>
      </c>
      <c r="BR70">
        <v>1052</v>
      </c>
      <c r="BS70">
        <v>30</v>
      </c>
      <c r="BT70" t="s">
        <v>153</v>
      </c>
      <c r="BU70" t="s">
        <v>87</v>
      </c>
      <c r="BV70" t="s">
        <v>87</v>
      </c>
      <c r="BW70" t="s">
        <v>87</v>
      </c>
      <c r="BX70" t="s">
        <v>96</v>
      </c>
      <c r="BY70" t="s">
        <v>86</v>
      </c>
      <c r="BZ70" t="s">
        <v>86</v>
      </c>
      <c r="CA70">
        <v>8</v>
      </c>
      <c r="CB70" t="s">
        <v>97</v>
      </c>
      <c r="CC70" t="s">
        <v>87</v>
      </c>
    </row>
    <row r="71" spans="1:81">
      <c r="A71" t="s">
        <v>268</v>
      </c>
      <c r="B71" t="s">
        <v>269</v>
      </c>
      <c r="C71" t="s">
        <v>345</v>
      </c>
      <c r="D71" t="s">
        <v>83</v>
      </c>
      <c r="E71">
        <v>67</v>
      </c>
      <c r="F71" t="s">
        <v>167</v>
      </c>
      <c r="G71">
        <v>78.8</v>
      </c>
      <c r="H71">
        <v>166</v>
      </c>
      <c r="I71">
        <v>28.6</v>
      </c>
      <c r="J71">
        <v>95.3</v>
      </c>
      <c r="K71" t="s">
        <v>114</v>
      </c>
      <c r="L71" t="s">
        <v>87</v>
      </c>
      <c r="M71" t="s">
        <v>87</v>
      </c>
      <c r="N71" t="s">
        <v>87</v>
      </c>
      <c r="O71" t="s">
        <v>87</v>
      </c>
      <c r="P71" t="s">
        <v>157</v>
      </c>
      <c r="Q71">
        <v>21</v>
      </c>
      <c r="R71" t="s">
        <v>87</v>
      </c>
      <c r="S71" t="s">
        <v>86</v>
      </c>
      <c r="T71" t="s">
        <v>102</v>
      </c>
      <c r="U71">
        <v>100</v>
      </c>
      <c r="V71">
        <v>85</v>
      </c>
      <c r="W71">
        <v>90</v>
      </c>
      <c r="X71">
        <v>89</v>
      </c>
      <c r="Y71">
        <v>98</v>
      </c>
      <c r="Z71">
        <v>2815</v>
      </c>
      <c r="AA71">
        <v>4180</v>
      </c>
      <c r="AB71">
        <v>1365</v>
      </c>
      <c r="AC71">
        <v>15013</v>
      </c>
      <c r="AD71">
        <v>24.4</v>
      </c>
      <c r="AE71">
        <v>2983</v>
      </c>
      <c r="AF71">
        <v>75.599999999999994</v>
      </c>
      <c r="AG71">
        <v>44</v>
      </c>
      <c r="AH71">
        <v>1027</v>
      </c>
      <c r="AI71">
        <v>26.5</v>
      </c>
      <c r="AJ71">
        <v>8.3000000000000007</v>
      </c>
      <c r="AK71">
        <v>9.4</v>
      </c>
      <c r="AL71">
        <v>97</v>
      </c>
      <c r="AM71">
        <v>50.3</v>
      </c>
      <c r="AN71">
        <v>166</v>
      </c>
      <c r="AO71">
        <v>140</v>
      </c>
      <c r="AP71">
        <v>45</v>
      </c>
      <c r="AQ71">
        <v>11.6</v>
      </c>
      <c r="AR71">
        <v>136.1</v>
      </c>
      <c r="AS71">
        <v>4.2</v>
      </c>
      <c r="AT71">
        <v>64</v>
      </c>
      <c r="AU71">
        <v>32</v>
      </c>
      <c r="AV71">
        <v>41.4</v>
      </c>
      <c r="AW71">
        <v>2.5</v>
      </c>
      <c r="AX71">
        <v>9.6999999999999993</v>
      </c>
      <c r="AY71">
        <v>4.9000000000000004</v>
      </c>
      <c r="AZ71">
        <v>14.9</v>
      </c>
      <c r="BA71">
        <v>363</v>
      </c>
      <c r="BB71">
        <v>25</v>
      </c>
      <c r="BC71">
        <v>62</v>
      </c>
      <c r="BD71">
        <v>139</v>
      </c>
      <c r="BE71">
        <v>25.8</v>
      </c>
      <c r="BF71" t="s">
        <v>86</v>
      </c>
      <c r="BG71">
        <v>35</v>
      </c>
      <c r="BH71">
        <v>48</v>
      </c>
      <c r="BI71">
        <v>-9.8000000000000007</v>
      </c>
      <c r="BJ71" t="s">
        <v>118</v>
      </c>
      <c r="BK71">
        <v>267</v>
      </c>
      <c r="BL71">
        <v>61</v>
      </c>
      <c r="BM71">
        <v>0.59</v>
      </c>
      <c r="BN71" t="s">
        <v>119</v>
      </c>
      <c r="BO71" t="s">
        <v>92</v>
      </c>
      <c r="BP71" t="s">
        <v>93</v>
      </c>
      <c r="BQ71" t="s">
        <v>103</v>
      </c>
      <c r="BR71">
        <v>1005</v>
      </c>
      <c r="BS71">
        <v>38.9</v>
      </c>
      <c r="BT71" t="s">
        <v>153</v>
      </c>
      <c r="BU71" t="s">
        <v>86</v>
      </c>
      <c r="BV71" t="s">
        <v>86</v>
      </c>
      <c r="BW71" t="s">
        <v>86</v>
      </c>
      <c r="BX71" t="s">
        <v>96</v>
      </c>
      <c r="BY71" t="s">
        <v>86</v>
      </c>
      <c r="BZ71" t="s">
        <v>87</v>
      </c>
      <c r="CA71">
        <v>4</v>
      </c>
      <c r="CB71" t="s">
        <v>97</v>
      </c>
      <c r="CC71" t="s">
        <v>86</v>
      </c>
    </row>
    <row r="72" spans="1:81">
      <c r="A72" t="s">
        <v>270</v>
      </c>
      <c r="B72" t="s">
        <v>271</v>
      </c>
      <c r="C72" t="s">
        <v>345</v>
      </c>
      <c r="D72" t="s">
        <v>83</v>
      </c>
      <c r="E72">
        <v>38</v>
      </c>
      <c r="F72" t="s">
        <v>167</v>
      </c>
      <c r="G72">
        <v>123.6</v>
      </c>
      <c r="H72">
        <v>183</v>
      </c>
      <c r="I72">
        <v>36.9</v>
      </c>
      <c r="J72">
        <v>111.9</v>
      </c>
      <c r="K72" t="s">
        <v>123</v>
      </c>
      <c r="L72" t="s">
        <v>86</v>
      </c>
      <c r="M72" t="s">
        <v>86</v>
      </c>
      <c r="N72" t="s">
        <v>87</v>
      </c>
      <c r="O72" t="s">
        <v>87</v>
      </c>
      <c r="P72" t="s">
        <v>134</v>
      </c>
      <c r="Q72">
        <v>0</v>
      </c>
      <c r="R72" t="s">
        <v>86</v>
      </c>
      <c r="S72" t="s">
        <v>86</v>
      </c>
      <c r="T72" t="s">
        <v>102</v>
      </c>
      <c r="U72">
        <v>146</v>
      </c>
      <c r="V72">
        <v>78</v>
      </c>
      <c r="W72">
        <v>100.7</v>
      </c>
      <c r="X72">
        <v>117</v>
      </c>
      <c r="Y72">
        <v>93</v>
      </c>
      <c r="Z72">
        <v>368</v>
      </c>
      <c r="AA72">
        <v>649</v>
      </c>
      <c r="AB72">
        <v>281</v>
      </c>
      <c r="AC72">
        <v>5182</v>
      </c>
      <c r="AD72">
        <v>32.1</v>
      </c>
      <c r="AE72">
        <v>1536</v>
      </c>
      <c r="AF72">
        <v>28.1</v>
      </c>
      <c r="AG72">
        <v>38</v>
      </c>
      <c r="AH72">
        <v>370</v>
      </c>
      <c r="AI72">
        <v>4.8</v>
      </c>
      <c r="AJ72">
        <v>8.6</v>
      </c>
      <c r="AK72">
        <v>7.6</v>
      </c>
      <c r="AL72">
        <v>182</v>
      </c>
      <c r="AM72">
        <v>25.6</v>
      </c>
      <c r="AN72">
        <v>357</v>
      </c>
      <c r="AO72">
        <v>96</v>
      </c>
      <c r="AP72">
        <v>108</v>
      </c>
      <c r="AQ72">
        <v>10.4</v>
      </c>
      <c r="AR72">
        <v>138.6</v>
      </c>
      <c r="AS72">
        <v>4.5999999999999996</v>
      </c>
      <c r="AT72">
        <v>41</v>
      </c>
      <c r="AU72">
        <v>69</v>
      </c>
      <c r="AV72">
        <v>35.299999999999997</v>
      </c>
      <c r="AW72">
        <v>1.4</v>
      </c>
      <c r="AX72">
        <v>7.1</v>
      </c>
      <c r="AY72">
        <v>3.7</v>
      </c>
      <c r="AZ72">
        <v>15.7</v>
      </c>
      <c r="BA72">
        <v>130</v>
      </c>
      <c r="BB72">
        <v>38</v>
      </c>
      <c r="BC72">
        <v>67</v>
      </c>
      <c r="BD72">
        <v>153</v>
      </c>
      <c r="BE72">
        <v>19.3</v>
      </c>
      <c r="BF72" t="s">
        <v>87</v>
      </c>
      <c r="BG72">
        <v>58</v>
      </c>
      <c r="BH72">
        <v>48.5</v>
      </c>
      <c r="BI72">
        <v>-8.6999999999999993</v>
      </c>
      <c r="BJ72" t="s">
        <v>90</v>
      </c>
      <c r="BK72">
        <v>27</v>
      </c>
      <c r="BL72">
        <v>24</v>
      </c>
      <c r="BM72">
        <v>1.0900000000000001</v>
      </c>
      <c r="BN72" t="s">
        <v>96</v>
      </c>
      <c r="BO72" t="s">
        <v>92</v>
      </c>
      <c r="BP72" t="s">
        <v>224</v>
      </c>
      <c r="BQ72" t="s">
        <v>94</v>
      </c>
      <c r="BR72">
        <v>1078</v>
      </c>
      <c r="BS72">
        <v>39.4</v>
      </c>
      <c r="BT72" t="s">
        <v>110</v>
      </c>
      <c r="BU72" t="s">
        <v>86</v>
      </c>
      <c r="BV72" t="s">
        <v>86</v>
      </c>
      <c r="BW72" t="s">
        <v>86</v>
      </c>
      <c r="BX72" t="s">
        <v>96</v>
      </c>
      <c r="BY72" t="s">
        <v>86</v>
      </c>
      <c r="BZ72" t="s">
        <v>86</v>
      </c>
      <c r="CA72">
        <v>10</v>
      </c>
      <c r="CB72" t="s">
        <v>97</v>
      </c>
      <c r="CC72" t="s">
        <v>86</v>
      </c>
    </row>
    <row r="73" spans="1:81">
      <c r="A73" t="s">
        <v>272</v>
      </c>
      <c r="B73" t="s">
        <v>273</v>
      </c>
      <c r="C73" t="s">
        <v>345</v>
      </c>
      <c r="D73" t="s">
        <v>83</v>
      </c>
      <c r="E73">
        <v>41</v>
      </c>
      <c r="F73" t="s">
        <v>167</v>
      </c>
      <c r="G73">
        <v>96.7</v>
      </c>
      <c r="H73">
        <v>172</v>
      </c>
      <c r="I73">
        <v>32.700000000000003</v>
      </c>
      <c r="J73">
        <v>102.6</v>
      </c>
      <c r="K73" t="s">
        <v>100</v>
      </c>
      <c r="L73" t="s">
        <v>86</v>
      </c>
      <c r="M73" t="s">
        <v>87</v>
      </c>
      <c r="N73" t="s">
        <v>86</v>
      </c>
      <c r="O73" t="s">
        <v>87</v>
      </c>
      <c r="P73" t="s">
        <v>134</v>
      </c>
      <c r="Q73">
        <v>0</v>
      </c>
      <c r="R73" t="s">
        <v>86</v>
      </c>
      <c r="S73" t="s">
        <v>86</v>
      </c>
      <c r="T73" t="s">
        <v>102</v>
      </c>
      <c r="U73">
        <v>113</v>
      </c>
      <c r="V73">
        <v>71</v>
      </c>
      <c r="W73">
        <v>85</v>
      </c>
      <c r="X73">
        <v>106</v>
      </c>
      <c r="Y73">
        <v>98</v>
      </c>
      <c r="Z73">
        <v>5103</v>
      </c>
      <c r="AA73">
        <v>6108</v>
      </c>
      <c r="AB73">
        <v>1005</v>
      </c>
      <c r="AC73">
        <v>4211</v>
      </c>
      <c r="AD73">
        <v>22.9</v>
      </c>
      <c r="AE73">
        <v>1660</v>
      </c>
      <c r="AF73">
        <v>10.6</v>
      </c>
      <c r="AG73">
        <v>51</v>
      </c>
      <c r="AH73">
        <v>90</v>
      </c>
      <c r="AI73">
        <v>7.7</v>
      </c>
      <c r="AJ73">
        <v>6.1</v>
      </c>
      <c r="AK73">
        <v>5.8</v>
      </c>
      <c r="AL73">
        <v>160</v>
      </c>
      <c r="AM73">
        <v>50.8</v>
      </c>
      <c r="AN73">
        <v>341</v>
      </c>
      <c r="AO73">
        <v>83</v>
      </c>
      <c r="AP73">
        <v>106</v>
      </c>
      <c r="AQ73">
        <v>7.3</v>
      </c>
      <c r="AR73">
        <v>135.9</v>
      </c>
      <c r="AS73">
        <v>3.6</v>
      </c>
      <c r="AT73">
        <v>14</v>
      </c>
      <c r="AU73">
        <v>42</v>
      </c>
      <c r="AV73">
        <v>40.9</v>
      </c>
      <c r="AW73">
        <v>2.2000000000000002</v>
      </c>
      <c r="AX73">
        <v>13</v>
      </c>
      <c r="AY73">
        <v>1.5</v>
      </c>
      <c r="AZ73">
        <v>14.7</v>
      </c>
      <c r="BA73">
        <v>385</v>
      </c>
      <c r="BB73">
        <v>28</v>
      </c>
      <c r="BC73">
        <v>60</v>
      </c>
      <c r="BD73">
        <v>139</v>
      </c>
      <c r="BE73">
        <v>15.7</v>
      </c>
      <c r="BF73" t="s">
        <v>86</v>
      </c>
      <c r="BG73">
        <v>46</v>
      </c>
      <c r="BH73">
        <v>52.6</v>
      </c>
      <c r="BI73">
        <v>-12.4</v>
      </c>
      <c r="BJ73" t="s">
        <v>125</v>
      </c>
      <c r="BK73">
        <v>165</v>
      </c>
      <c r="BL73">
        <v>17</v>
      </c>
      <c r="BM73">
        <v>1.1599999999999999</v>
      </c>
      <c r="BN73" t="s">
        <v>91</v>
      </c>
      <c r="BO73" t="s">
        <v>92</v>
      </c>
      <c r="BP73" t="s">
        <v>93</v>
      </c>
      <c r="BQ73" t="s">
        <v>94</v>
      </c>
      <c r="BR73">
        <v>1096</v>
      </c>
      <c r="BS73">
        <v>43.6</v>
      </c>
      <c r="BT73" t="s">
        <v>131</v>
      </c>
      <c r="BU73" t="s">
        <v>87</v>
      </c>
      <c r="BV73" t="s">
        <v>86</v>
      </c>
      <c r="BW73" t="s">
        <v>86</v>
      </c>
      <c r="BX73" t="s">
        <v>96</v>
      </c>
      <c r="BY73" t="s">
        <v>86</v>
      </c>
      <c r="BZ73" t="s">
        <v>86</v>
      </c>
      <c r="CA73">
        <v>13</v>
      </c>
      <c r="CB73" t="s">
        <v>120</v>
      </c>
      <c r="CC73" t="s">
        <v>87</v>
      </c>
    </row>
    <row r="74" spans="1:81">
      <c r="A74" t="s">
        <v>274</v>
      </c>
      <c r="B74" t="s">
        <v>275</v>
      </c>
      <c r="C74" t="s">
        <v>345</v>
      </c>
      <c r="D74" t="s">
        <v>83</v>
      </c>
      <c r="E74">
        <v>55</v>
      </c>
      <c r="F74" t="s">
        <v>113</v>
      </c>
      <c r="G74">
        <v>125.9</v>
      </c>
      <c r="H74">
        <v>179</v>
      </c>
      <c r="I74">
        <v>39.299999999999997</v>
      </c>
      <c r="J74">
        <v>119.2</v>
      </c>
      <c r="K74" t="s">
        <v>123</v>
      </c>
      <c r="L74" t="s">
        <v>86</v>
      </c>
      <c r="M74" t="s">
        <v>87</v>
      </c>
      <c r="N74" t="s">
        <v>86</v>
      </c>
      <c r="O74" t="s">
        <v>87</v>
      </c>
      <c r="P74" t="s">
        <v>101</v>
      </c>
      <c r="Q74">
        <v>15</v>
      </c>
      <c r="R74" t="s">
        <v>86</v>
      </c>
      <c r="S74" t="s">
        <v>86</v>
      </c>
      <c r="T74" t="s">
        <v>89</v>
      </c>
      <c r="U74">
        <v>74</v>
      </c>
      <c r="V74">
        <v>82</v>
      </c>
      <c r="W74">
        <v>79.3</v>
      </c>
      <c r="X74">
        <v>111</v>
      </c>
      <c r="Y74">
        <v>89</v>
      </c>
      <c r="Z74">
        <v>802</v>
      </c>
      <c r="AA74">
        <v>876</v>
      </c>
      <c r="AB74">
        <v>74</v>
      </c>
      <c r="AC74">
        <v>22702</v>
      </c>
      <c r="AD74">
        <v>9.1999999999999993</v>
      </c>
      <c r="AE74">
        <v>2011</v>
      </c>
      <c r="AF74">
        <v>97.1</v>
      </c>
      <c r="AG74">
        <v>75</v>
      </c>
      <c r="AH74">
        <v>686</v>
      </c>
      <c r="AI74">
        <v>10.9</v>
      </c>
      <c r="AJ74">
        <v>6.1</v>
      </c>
      <c r="AK74">
        <v>6.2</v>
      </c>
      <c r="AL74">
        <v>249</v>
      </c>
      <c r="AM74">
        <v>43.9</v>
      </c>
      <c r="AN74">
        <v>346</v>
      </c>
      <c r="AO74">
        <v>133</v>
      </c>
      <c r="AP74">
        <v>61</v>
      </c>
      <c r="AQ74">
        <v>6.8</v>
      </c>
      <c r="AR74">
        <v>135.6</v>
      </c>
      <c r="AS74">
        <v>4.7</v>
      </c>
      <c r="AT74">
        <v>61</v>
      </c>
      <c r="AU74">
        <v>56</v>
      </c>
      <c r="AV74">
        <v>30.7</v>
      </c>
      <c r="AW74">
        <v>3</v>
      </c>
      <c r="AX74">
        <v>5.2</v>
      </c>
      <c r="AY74">
        <v>8.1999999999999993</v>
      </c>
      <c r="AZ74">
        <v>12.5</v>
      </c>
      <c r="BA74">
        <v>277</v>
      </c>
      <c r="BB74">
        <v>14</v>
      </c>
      <c r="BC74">
        <v>57</v>
      </c>
      <c r="BD74">
        <v>189</v>
      </c>
      <c r="BE74">
        <v>17.7</v>
      </c>
      <c r="BF74" t="s">
        <v>87</v>
      </c>
      <c r="BG74">
        <v>42</v>
      </c>
      <c r="BH74">
        <v>45.7</v>
      </c>
      <c r="BI74">
        <v>-8.6999999999999993</v>
      </c>
      <c r="BJ74" t="s">
        <v>90</v>
      </c>
      <c r="BK74">
        <v>232</v>
      </c>
      <c r="BL74">
        <v>26</v>
      </c>
      <c r="BM74">
        <v>1.17</v>
      </c>
      <c r="BN74" t="s">
        <v>96</v>
      </c>
      <c r="BO74" t="s">
        <v>92</v>
      </c>
      <c r="BP74" t="s">
        <v>93</v>
      </c>
      <c r="BQ74" t="s">
        <v>94</v>
      </c>
      <c r="BR74">
        <v>1150</v>
      </c>
      <c r="BS74">
        <v>30.9</v>
      </c>
      <c r="BT74" t="s">
        <v>110</v>
      </c>
      <c r="BU74" t="s">
        <v>87</v>
      </c>
      <c r="BV74" t="s">
        <v>86</v>
      </c>
      <c r="BW74" t="s">
        <v>87</v>
      </c>
      <c r="BX74" t="s">
        <v>96</v>
      </c>
      <c r="BY74" t="s">
        <v>86</v>
      </c>
      <c r="BZ74" t="s">
        <v>86</v>
      </c>
      <c r="CA74">
        <v>9</v>
      </c>
      <c r="CB74" t="s">
        <v>104</v>
      </c>
      <c r="CC74" t="s">
        <v>87</v>
      </c>
    </row>
    <row r="75" spans="1:81">
      <c r="A75" t="s">
        <v>276</v>
      </c>
      <c r="B75" t="s">
        <v>277</v>
      </c>
      <c r="C75" t="s">
        <v>345</v>
      </c>
      <c r="D75" t="s">
        <v>83</v>
      </c>
      <c r="E75">
        <v>55</v>
      </c>
      <c r="F75" t="s">
        <v>128</v>
      </c>
      <c r="G75">
        <v>105.5</v>
      </c>
      <c r="H75">
        <v>163</v>
      </c>
      <c r="I75">
        <v>39.700000000000003</v>
      </c>
      <c r="J75">
        <v>124.5</v>
      </c>
      <c r="K75" t="s">
        <v>123</v>
      </c>
      <c r="L75" t="s">
        <v>87</v>
      </c>
      <c r="M75" t="s">
        <v>87</v>
      </c>
      <c r="N75" t="s">
        <v>87</v>
      </c>
      <c r="O75" t="s">
        <v>87</v>
      </c>
      <c r="P75" t="s">
        <v>88</v>
      </c>
      <c r="Q75">
        <v>3</v>
      </c>
      <c r="R75" t="s">
        <v>86</v>
      </c>
      <c r="S75" t="s">
        <v>86</v>
      </c>
      <c r="T75" t="s">
        <v>102</v>
      </c>
      <c r="U75">
        <v>120</v>
      </c>
      <c r="V75">
        <v>92</v>
      </c>
      <c r="W75">
        <v>101.3</v>
      </c>
      <c r="X75">
        <v>110</v>
      </c>
      <c r="Y75">
        <v>95</v>
      </c>
      <c r="Z75">
        <v>7729</v>
      </c>
      <c r="AA75">
        <v>13171</v>
      </c>
      <c r="AB75">
        <v>5442</v>
      </c>
      <c r="AC75">
        <v>14599</v>
      </c>
      <c r="AD75">
        <v>31.5</v>
      </c>
      <c r="AE75">
        <v>2194</v>
      </c>
      <c r="AF75">
        <v>116.1</v>
      </c>
      <c r="AG75">
        <v>79</v>
      </c>
      <c r="AH75">
        <v>903</v>
      </c>
      <c r="AI75">
        <v>174.9</v>
      </c>
      <c r="AJ75">
        <v>8.6</v>
      </c>
      <c r="AK75">
        <v>10.7</v>
      </c>
      <c r="AL75">
        <v>160</v>
      </c>
      <c r="AM75">
        <v>26.3</v>
      </c>
      <c r="AN75">
        <v>318</v>
      </c>
      <c r="AO75">
        <v>70</v>
      </c>
      <c r="AP75">
        <v>92</v>
      </c>
      <c r="AQ75">
        <v>2.8</v>
      </c>
      <c r="AR75">
        <v>143.4</v>
      </c>
      <c r="AS75">
        <v>4.8</v>
      </c>
      <c r="AT75">
        <v>43</v>
      </c>
      <c r="AU75">
        <v>47</v>
      </c>
      <c r="AV75">
        <v>34.1</v>
      </c>
      <c r="AW75">
        <v>1.4</v>
      </c>
      <c r="AX75">
        <v>7.6</v>
      </c>
      <c r="AY75">
        <v>7.7</v>
      </c>
      <c r="AZ75">
        <v>12.6</v>
      </c>
      <c r="BA75">
        <v>218</v>
      </c>
      <c r="BB75">
        <v>24</v>
      </c>
      <c r="BC75">
        <v>61</v>
      </c>
      <c r="BD75">
        <v>150</v>
      </c>
      <c r="BE75">
        <v>24.8</v>
      </c>
      <c r="BF75" t="s">
        <v>86</v>
      </c>
      <c r="BG75">
        <v>35</v>
      </c>
      <c r="BH75">
        <v>48</v>
      </c>
      <c r="BI75">
        <v>-6.5</v>
      </c>
      <c r="BJ75" t="s">
        <v>118</v>
      </c>
      <c r="BK75">
        <v>290</v>
      </c>
      <c r="BL75">
        <v>31</v>
      </c>
      <c r="BM75">
        <v>0.61</v>
      </c>
      <c r="BN75" t="s">
        <v>91</v>
      </c>
      <c r="BO75" t="s">
        <v>109</v>
      </c>
      <c r="BP75" t="s">
        <v>93</v>
      </c>
      <c r="BQ75" t="s">
        <v>94</v>
      </c>
      <c r="BR75">
        <v>1023</v>
      </c>
      <c r="BS75">
        <v>42.8</v>
      </c>
      <c r="BT75" t="s">
        <v>153</v>
      </c>
      <c r="BU75" t="s">
        <v>87</v>
      </c>
      <c r="BV75" t="s">
        <v>86</v>
      </c>
      <c r="BW75" t="s">
        <v>87</v>
      </c>
      <c r="BX75" t="s">
        <v>96</v>
      </c>
      <c r="BY75" t="s">
        <v>86</v>
      </c>
      <c r="BZ75" t="s">
        <v>86</v>
      </c>
      <c r="CA75">
        <v>14</v>
      </c>
      <c r="CB75" t="s">
        <v>104</v>
      </c>
      <c r="CC75" t="s">
        <v>87</v>
      </c>
    </row>
    <row r="76" spans="1:81">
      <c r="A76" t="s">
        <v>278</v>
      </c>
      <c r="B76" t="s">
        <v>279</v>
      </c>
      <c r="C76" t="s">
        <v>345</v>
      </c>
      <c r="D76" t="s">
        <v>83</v>
      </c>
      <c r="E76">
        <v>33</v>
      </c>
      <c r="F76" t="s">
        <v>113</v>
      </c>
      <c r="G76">
        <v>98.9</v>
      </c>
      <c r="H76">
        <v>162</v>
      </c>
      <c r="I76">
        <v>37.700000000000003</v>
      </c>
      <c r="J76">
        <v>115.5</v>
      </c>
      <c r="K76" t="s">
        <v>123</v>
      </c>
      <c r="L76" t="s">
        <v>87</v>
      </c>
      <c r="M76" t="s">
        <v>87</v>
      </c>
      <c r="N76" t="s">
        <v>86</v>
      </c>
      <c r="O76" t="s">
        <v>86</v>
      </c>
      <c r="P76" t="s">
        <v>140</v>
      </c>
      <c r="Q76">
        <v>13</v>
      </c>
      <c r="R76" t="s">
        <v>86</v>
      </c>
      <c r="S76" t="s">
        <v>86</v>
      </c>
      <c r="T76" t="s">
        <v>89</v>
      </c>
      <c r="U76">
        <v>114</v>
      </c>
      <c r="V76">
        <v>78</v>
      </c>
      <c r="W76">
        <v>90</v>
      </c>
      <c r="X76">
        <v>94</v>
      </c>
      <c r="Y76">
        <v>87</v>
      </c>
      <c r="Z76">
        <v>1398</v>
      </c>
      <c r="AA76">
        <v>2080</v>
      </c>
      <c r="AB76">
        <v>682</v>
      </c>
      <c r="AC76">
        <v>11242</v>
      </c>
      <c r="AD76">
        <v>17.5</v>
      </c>
      <c r="AE76">
        <v>4929</v>
      </c>
      <c r="AF76">
        <v>93.1</v>
      </c>
      <c r="AG76">
        <v>71</v>
      </c>
      <c r="AH76">
        <v>1618</v>
      </c>
      <c r="AI76">
        <v>25.3</v>
      </c>
      <c r="AJ76">
        <v>5.7</v>
      </c>
      <c r="AK76">
        <v>5.4</v>
      </c>
      <c r="AL76">
        <v>87</v>
      </c>
      <c r="AM76">
        <v>37.200000000000003</v>
      </c>
      <c r="AN76">
        <v>262</v>
      </c>
      <c r="AO76">
        <v>110</v>
      </c>
      <c r="AP76">
        <v>101</v>
      </c>
      <c r="AQ76">
        <v>11.2</v>
      </c>
      <c r="AR76">
        <v>134.5</v>
      </c>
      <c r="AS76">
        <v>4.2</v>
      </c>
      <c r="AT76">
        <v>68</v>
      </c>
      <c r="AU76">
        <v>33</v>
      </c>
      <c r="AV76">
        <v>35.1</v>
      </c>
      <c r="AW76">
        <v>2.8</v>
      </c>
      <c r="AX76">
        <v>9.8000000000000007</v>
      </c>
      <c r="AY76">
        <v>6.8</v>
      </c>
      <c r="AZ76">
        <v>13.3</v>
      </c>
      <c r="BA76">
        <v>180</v>
      </c>
      <c r="BB76">
        <v>26</v>
      </c>
      <c r="BC76">
        <v>63</v>
      </c>
      <c r="BD76">
        <v>194</v>
      </c>
      <c r="BE76">
        <v>14.8</v>
      </c>
      <c r="BF76" t="s">
        <v>87</v>
      </c>
      <c r="BG76">
        <v>47</v>
      </c>
      <c r="BH76">
        <v>57.9</v>
      </c>
      <c r="BI76">
        <v>-11.3</v>
      </c>
      <c r="BJ76" t="s">
        <v>115</v>
      </c>
      <c r="BK76">
        <v>80</v>
      </c>
      <c r="BL76">
        <v>28</v>
      </c>
      <c r="BM76">
        <v>0.84</v>
      </c>
      <c r="BN76" t="s">
        <v>91</v>
      </c>
      <c r="BO76" t="s">
        <v>109</v>
      </c>
      <c r="BP76" t="s">
        <v>93</v>
      </c>
      <c r="BQ76" t="s">
        <v>94</v>
      </c>
      <c r="BR76">
        <v>1037</v>
      </c>
      <c r="BS76">
        <v>25.3</v>
      </c>
      <c r="BT76" t="s">
        <v>131</v>
      </c>
      <c r="BU76" t="s">
        <v>87</v>
      </c>
      <c r="BV76" t="s">
        <v>87</v>
      </c>
      <c r="BW76" t="s">
        <v>86</v>
      </c>
      <c r="BX76" t="s">
        <v>96</v>
      </c>
      <c r="BY76" t="s">
        <v>86</v>
      </c>
      <c r="BZ76" t="s">
        <v>86</v>
      </c>
      <c r="CA76">
        <v>11</v>
      </c>
      <c r="CB76" t="s">
        <v>97</v>
      </c>
      <c r="CC76" t="s">
        <v>87</v>
      </c>
    </row>
    <row r="77" spans="1:81">
      <c r="A77" t="s">
        <v>280</v>
      </c>
      <c r="B77" t="s">
        <v>281</v>
      </c>
      <c r="C77" t="s">
        <v>345</v>
      </c>
      <c r="D77" t="s">
        <v>83</v>
      </c>
      <c r="E77">
        <v>55</v>
      </c>
      <c r="F77" t="s">
        <v>113</v>
      </c>
      <c r="G77">
        <v>101.6</v>
      </c>
      <c r="H77">
        <v>184</v>
      </c>
      <c r="I77">
        <v>30</v>
      </c>
      <c r="J77">
        <v>96.8</v>
      </c>
      <c r="K77" t="s">
        <v>100</v>
      </c>
      <c r="L77" t="s">
        <v>87</v>
      </c>
      <c r="M77" t="s">
        <v>86</v>
      </c>
      <c r="N77" t="s">
        <v>86</v>
      </c>
      <c r="O77" t="s">
        <v>86</v>
      </c>
      <c r="P77" t="s">
        <v>140</v>
      </c>
      <c r="Q77">
        <v>25</v>
      </c>
      <c r="R77" t="s">
        <v>87</v>
      </c>
      <c r="S77" t="s">
        <v>87</v>
      </c>
      <c r="T77" t="s">
        <v>124</v>
      </c>
      <c r="U77">
        <v>122</v>
      </c>
      <c r="V77">
        <v>92</v>
      </c>
      <c r="W77">
        <v>102</v>
      </c>
      <c r="X77">
        <v>114</v>
      </c>
      <c r="Y77">
        <v>94</v>
      </c>
      <c r="Z77">
        <v>3118</v>
      </c>
      <c r="AA77">
        <v>3677</v>
      </c>
      <c r="AB77">
        <v>559</v>
      </c>
      <c r="AC77">
        <v>9439</v>
      </c>
      <c r="AD77">
        <v>38.700000000000003</v>
      </c>
      <c r="AE77">
        <v>2158</v>
      </c>
      <c r="AF77">
        <v>127.7</v>
      </c>
      <c r="AG77">
        <v>73</v>
      </c>
      <c r="AH77">
        <v>401</v>
      </c>
      <c r="AI77">
        <v>52.3</v>
      </c>
      <c r="AJ77">
        <v>5.9</v>
      </c>
      <c r="AK77">
        <v>6</v>
      </c>
      <c r="AL77">
        <v>121</v>
      </c>
      <c r="AM77">
        <v>39.5</v>
      </c>
      <c r="AN77">
        <v>162</v>
      </c>
      <c r="AO77">
        <v>72</v>
      </c>
      <c r="AP77">
        <v>97</v>
      </c>
      <c r="AQ77">
        <v>2.8</v>
      </c>
      <c r="AR77">
        <v>137.4</v>
      </c>
      <c r="AS77">
        <v>3.9</v>
      </c>
      <c r="AT77">
        <v>108</v>
      </c>
      <c r="AU77">
        <v>31</v>
      </c>
      <c r="AV77">
        <v>30.7</v>
      </c>
      <c r="AW77">
        <v>2</v>
      </c>
      <c r="AX77">
        <v>13.9</v>
      </c>
      <c r="AY77">
        <v>6.4</v>
      </c>
      <c r="AZ77">
        <v>14.5</v>
      </c>
      <c r="BA77">
        <v>300</v>
      </c>
      <c r="BB77">
        <v>43</v>
      </c>
      <c r="BC77">
        <v>57</v>
      </c>
      <c r="BD77">
        <v>214</v>
      </c>
      <c r="BE77">
        <v>13</v>
      </c>
      <c r="BF77" t="s">
        <v>86</v>
      </c>
      <c r="BG77">
        <v>48</v>
      </c>
      <c r="BH77">
        <v>48.4</v>
      </c>
      <c r="BI77">
        <v>-10.8</v>
      </c>
      <c r="BJ77" t="s">
        <v>115</v>
      </c>
      <c r="BK77">
        <v>715</v>
      </c>
      <c r="BL77">
        <v>51</v>
      </c>
      <c r="BM77">
        <v>0.88</v>
      </c>
      <c r="BN77" t="s">
        <v>135</v>
      </c>
      <c r="BO77" t="s">
        <v>92</v>
      </c>
      <c r="BP77" t="s">
        <v>93</v>
      </c>
      <c r="BQ77" t="s">
        <v>94</v>
      </c>
      <c r="BR77">
        <v>1118</v>
      </c>
      <c r="BS77">
        <v>35.5</v>
      </c>
      <c r="BT77" t="s">
        <v>153</v>
      </c>
      <c r="BU77" t="s">
        <v>86</v>
      </c>
      <c r="BV77" t="s">
        <v>86</v>
      </c>
      <c r="BW77" t="s">
        <v>86</v>
      </c>
      <c r="BX77" t="s">
        <v>96</v>
      </c>
      <c r="BY77" t="s">
        <v>86</v>
      </c>
      <c r="BZ77" t="s">
        <v>86</v>
      </c>
      <c r="CA77">
        <v>13</v>
      </c>
      <c r="CB77" t="s">
        <v>97</v>
      </c>
      <c r="CC77" t="s">
        <v>86</v>
      </c>
    </row>
    <row r="78" spans="1:81">
      <c r="A78" t="s">
        <v>282</v>
      </c>
      <c r="B78" t="s">
        <v>283</v>
      </c>
      <c r="C78" t="s">
        <v>345</v>
      </c>
      <c r="D78" t="s">
        <v>83</v>
      </c>
      <c r="E78">
        <v>50</v>
      </c>
      <c r="F78" t="s">
        <v>128</v>
      </c>
      <c r="G78">
        <v>117.3</v>
      </c>
      <c r="H78">
        <v>171</v>
      </c>
      <c r="I78">
        <v>40.1</v>
      </c>
      <c r="J78">
        <v>116.3</v>
      </c>
      <c r="K78" t="s">
        <v>85</v>
      </c>
      <c r="L78" t="s">
        <v>87</v>
      </c>
      <c r="M78" t="s">
        <v>87</v>
      </c>
      <c r="N78" t="s">
        <v>87</v>
      </c>
      <c r="O78" t="s">
        <v>87</v>
      </c>
      <c r="P78" t="s">
        <v>157</v>
      </c>
      <c r="Q78">
        <v>29</v>
      </c>
      <c r="R78" t="s">
        <v>87</v>
      </c>
      <c r="S78" t="s">
        <v>87</v>
      </c>
      <c r="T78" t="s">
        <v>89</v>
      </c>
      <c r="U78">
        <v>138</v>
      </c>
      <c r="V78">
        <v>61</v>
      </c>
      <c r="W78">
        <v>86.7</v>
      </c>
      <c r="X78">
        <v>113</v>
      </c>
      <c r="Y78">
        <v>89</v>
      </c>
      <c r="Z78">
        <v>871</v>
      </c>
      <c r="AA78">
        <v>1069</v>
      </c>
      <c r="AB78">
        <v>198</v>
      </c>
      <c r="AC78">
        <v>9272</v>
      </c>
      <c r="AD78">
        <v>14.4</v>
      </c>
      <c r="AE78">
        <v>5107</v>
      </c>
      <c r="AF78">
        <v>79.099999999999994</v>
      </c>
      <c r="AG78">
        <v>46</v>
      </c>
      <c r="AH78">
        <v>222</v>
      </c>
      <c r="AI78">
        <v>44.5</v>
      </c>
      <c r="AJ78">
        <v>8.9</v>
      </c>
      <c r="AK78">
        <v>8.3000000000000007</v>
      </c>
      <c r="AL78">
        <v>214</v>
      </c>
      <c r="AM78">
        <v>56</v>
      </c>
      <c r="AN78">
        <v>429</v>
      </c>
      <c r="AO78">
        <v>128</v>
      </c>
      <c r="AP78">
        <v>80</v>
      </c>
      <c r="AQ78">
        <v>5.4</v>
      </c>
      <c r="AR78">
        <v>133.19999999999999</v>
      </c>
      <c r="AS78">
        <v>4.4000000000000004</v>
      </c>
      <c r="AT78">
        <v>66</v>
      </c>
      <c r="AU78">
        <v>34</v>
      </c>
      <c r="AV78">
        <v>37.5</v>
      </c>
      <c r="AW78">
        <v>1.3</v>
      </c>
      <c r="AX78">
        <v>4</v>
      </c>
      <c r="AY78">
        <v>9.6</v>
      </c>
      <c r="AZ78">
        <v>13.8</v>
      </c>
      <c r="BA78">
        <v>379</v>
      </c>
      <c r="BB78">
        <v>16</v>
      </c>
      <c r="BC78">
        <v>70</v>
      </c>
      <c r="BD78">
        <v>179</v>
      </c>
      <c r="BE78">
        <v>24.6</v>
      </c>
      <c r="BF78" t="s">
        <v>86</v>
      </c>
      <c r="BG78">
        <v>27</v>
      </c>
      <c r="BH78">
        <v>53.4</v>
      </c>
      <c r="BI78">
        <v>-10.7</v>
      </c>
      <c r="BJ78" t="s">
        <v>162</v>
      </c>
      <c r="BK78">
        <v>423</v>
      </c>
      <c r="BL78">
        <v>40</v>
      </c>
      <c r="BM78">
        <v>0.82</v>
      </c>
      <c r="BN78" t="s">
        <v>119</v>
      </c>
      <c r="BO78" t="s">
        <v>92</v>
      </c>
      <c r="BP78" t="s">
        <v>93</v>
      </c>
      <c r="BQ78" t="s">
        <v>94</v>
      </c>
      <c r="BR78">
        <v>1165</v>
      </c>
      <c r="BS78">
        <v>33.6</v>
      </c>
      <c r="BT78" t="s">
        <v>153</v>
      </c>
      <c r="BU78" t="s">
        <v>87</v>
      </c>
      <c r="BV78" t="s">
        <v>86</v>
      </c>
      <c r="BW78" t="s">
        <v>86</v>
      </c>
      <c r="BX78" t="s">
        <v>96</v>
      </c>
      <c r="BY78" t="s">
        <v>86</v>
      </c>
      <c r="BZ78" t="s">
        <v>86</v>
      </c>
      <c r="CA78">
        <v>11</v>
      </c>
      <c r="CB78" t="s">
        <v>97</v>
      </c>
      <c r="CC78" t="s">
        <v>87</v>
      </c>
    </row>
    <row r="79" spans="1:81">
      <c r="A79" t="s">
        <v>284</v>
      </c>
      <c r="B79" t="s">
        <v>285</v>
      </c>
      <c r="C79" t="s">
        <v>345</v>
      </c>
      <c r="D79" t="s">
        <v>83</v>
      </c>
      <c r="E79">
        <v>29</v>
      </c>
      <c r="F79" t="s">
        <v>84</v>
      </c>
      <c r="G79">
        <v>109.9</v>
      </c>
      <c r="H79">
        <v>167</v>
      </c>
      <c r="I79">
        <v>39.4</v>
      </c>
      <c r="J79">
        <v>121.4</v>
      </c>
      <c r="K79" t="s">
        <v>123</v>
      </c>
      <c r="L79" t="s">
        <v>87</v>
      </c>
      <c r="M79" t="s">
        <v>87</v>
      </c>
      <c r="N79" t="s">
        <v>87</v>
      </c>
      <c r="O79" t="s">
        <v>86</v>
      </c>
      <c r="P79" t="s">
        <v>101</v>
      </c>
      <c r="Q79">
        <v>11</v>
      </c>
      <c r="R79" t="s">
        <v>86</v>
      </c>
      <c r="S79" t="s">
        <v>87</v>
      </c>
      <c r="T79" t="s">
        <v>102</v>
      </c>
      <c r="U79">
        <v>132</v>
      </c>
      <c r="V79">
        <v>82</v>
      </c>
      <c r="W79">
        <v>98.7</v>
      </c>
      <c r="X79">
        <v>136</v>
      </c>
      <c r="Y79">
        <v>98</v>
      </c>
      <c r="Z79">
        <v>999</v>
      </c>
      <c r="AA79">
        <v>871</v>
      </c>
      <c r="AB79">
        <v>-128</v>
      </c>
      <c r="AC79">
        <v>9070</v>
      </c>
      <c r="AD79">
        <v>9</v>
      </c>
      <c r="AE79">
        <v>1004</v>
      </c>
      <c r="AF79">
        <v>23.9</v>
      </c>
      <c r="AG79">
        <v>48</v>
      </c>
      <c r="AH79">
        <v>725</v>
      </c>
      <c r="AI79">
        <v>12.8</v>
      </c>
      <c r="AJ79">
        <v>9</v>
      </c>
      <c r="AK79">
        <v>8</v>
      </c>
      <c r="AL79">
        <v>125</v>
      </c>
      <c r="AM79">
        <v>24</v>
      </c>
      <c r="AN79">
        <v>394</v>
      </c>
      <c r="AO79">
        <v>116</v>
      </c>
      <c r="AP79">
        <v>86</v>
      </c>
      <c r="AQ79">
        <v>5.5</v>
      </c>
      <c r="AR79">
        <v>138.19999999999999</v>
      </c>
      <c r="AS79">
        <v>3.4</v>
      </c>
      <c r="AT79">
        <v>60</v>
      </c>
      <c r="AU79">
        <v>63</v>
      </c>
      <c r="AV79">
        <v>33.6</v>
      </c>
      <c r="AW79">
        <v>1.9</v>
      </c>
      <c r="AX79">
        <v>17.899999999999999</v>
      </c>
      <c r="AY79">
        <v>3.5</v>
      </c>
      <c r="AZ79">
        <v>13.1</v>
      </c>
      <c r="BA79">
        <v>161</v>
      </c>
      <c r="BB79">
        <v>31</v>
      </c>
      <c r="BC79">
        <v>77</v>
      </c>
      <c r="BD79">
        <v>179</v>
      </c>
      <c r="BE79">
        <v>13.4</v>
      </c>
      <c r="BF79" t="s">
        <v>86</v>
      </c>
      <c r="BG79">
        <v>34</v>
      </c>
      <c r="BH79">
        <v>51.5</v>
      </c>
      <c r="BI79">
        <v>-8.6</v>
      </c>
      <c r="BJ79" t="s">
        <v>90</v>
      </c>
      <c r="BK79">
        <v>145</v>
      </c>
      <c r="BL79">
        <v>33</v>
      </c>
      <c r="BM79">
        <v>1.03</v>
      </c>
      <c r="BN79" t="s">
        <v>96</v>
      </c>
      <c r="BO79" t="s">
        <v>92</v>
      </c>
      <c r="BP79" t="s">
        <v>93</v>
      </c>
      <c r="BQ79" t="s">
        <v>103</v>
      </c>
      <c r="BR79">
        <v>1060</v>
      </c>
      <c r="BS79">
        <v>31.8</v>
      </c>
      <c r="BT79" t="s">
        <v>95</v>
      </c>
      <c r="BU79" t="s">
        <v>86</v>
      </c>
      <c r="BV79" t="s">
        <v>86</v>
      </c>
      <c r="BW79" t="s">
        <v>86</v>
      </c>
      <c r="BX79" t="s">
        <v>96</v>
      </c>
      <c r="BY79" t="s">
        <v>86</v>
      </c>
      <c r="BZ79" t="s">
        <v>86</v>
      </c>
      <c r="CA79">
        <v>8</v>
      </c>
      <c r="CB79" t="s">
        <v>97</v>
      </c>
      <c r="CC79" t="s">
        <v>86</v>
      </c>
    </row>
    <row r="80" spans="1:81">
      <c r="A80" t="s">
        <v>286</v>
      </c>
      <c r="B80" t="s">
        <v>287</v>
      </c>
      <c r="C80" t="s">
        <v>345</v>
      </c>
      <c r="D80" t="s">
        <v>83</v>
      </c>
      <c r="E80">
        <v>56</v>
      </c>
      <c r="F80" t="s">
        <v>128</v>
      </c>
      <c r="G80">
        <v>89.5</v>
      </c>
      <c r="H80">
        <v>167</v>
      </c>
      <c r="I80">
        <v>32.1</v>
      </c>
      <c r="J80">
        <v>96.1</v>
      </c>
      <c r="K80" t="s">
        <v>100</v>
      </c>
      <c r="L80" t="s">
        <v>86</v>
      </c>
      <c r="M80" t="s">
        <v>87</v>
      </c>
      <c r="N80" t="s">
        <v>87</v>
      </c>
      <c r="O80" t="s">
        <v>87</v>
      </c>
      <c r="P80" t="s">
        <v>134</v>
      </c>
      <c r="Q80">
        <v>0</v>
      </c>
      <c r="R80" t="s">
        <v>86</v>
      </c>
      <c r="S80" t="s">
        <v>87</v>
      </c>
      <c r="T80" t="s">
        <v>89</v>
      </c>
      <c r="U80">
        <v>97</v>
      </c>
      <c r="V80">
        <v>49</v>
      </c>
      <c r="W80">
        <v>65</v>
      </c>
      <c r="X80">
        <v>145</v>
      </c>
      <c r="Y80">
        <v>92</v>
      </c>
      <c r="Z80">
        <v>607</v>
      </c>
      <c r="AA80">
        <v>583</v>
      </c>
      <c r="AB80">
        <v>-24</v>
      </c>
      <c r="AC80">
        <v>8572</v>
      </c>
      <c r="AD80">
        <v>27.7</v>
      </c>
      <c r="AE80">
        <v>6978</v>
      </c>
      <c r="AF80">
        <v>10.6</v>
      </c>
      <c r="AG80">
        <v>44</v>
      </c>
      <c r="AH80">
        <v>137</v>
      </c>
      <c r="AI80">
        <v>14</v>
      </c>
      <c r="AJ80">
        <v>9.5</v>
      </c>
      <c r="AK80">
        <v>12.3</v>
      </c>
      <c r="AL80">
        <v>161</v>
      </c>
      <c r="AM80">
        <v>35.700000000000003</v>
      </c>
      <c r="AN80">
        <v>234</v>
      </c>
      <c r="AO80">
        <v>147</v>
      </c>
      <c r="AP80">
        <v>63</v>
      </c>
      <c r="AQ80">
        <v>4</v>
      </c>
      <c r="AR80">
        <v>135.5</v>
      </c>
      <c r="AS80">
        <v>4</v>
      </c>
      <c r="AT80">
        <v>39</v>
      </c>
      <c r="AU80">
        <v>69</v>
      </c>
      <c r="AV80">
        <v>40.6</v>
      </c>
      <c r="AW80">
        <v>4.3</v>
      </c>
      <c r="AX80">
        <v>13.7</v>
      </c>
      <c r="AY80">
        <v>5.4</v>
      </c>
      <c r="AZ80">
        <v>14.7</v>
      </c>
      <c r="BA80">
        <v>311</v>
      </c>
      <c r="BB80">
        <v>21</v>
      </c>
      <c r="BC80">
        <v>67</v>
      </c>
      <c r="BD80">
        <v>201</v>
      </c>
      <c r="BE80">
        <v>13</v>
      </c>
      <c r="BF80" t="s">
        <v>87</v>
      </c>
      <c r="BG80">
        <v>67</v>
      </c>
      <c r="BH80">
        <v>53.2</v>
      </c>
      <c r="BI80">
        <v>-6.1</v>
      </c>
      <c r="BJ80" t="s">
        <v>162</v>
      </c>
      <c r="BK80">
        <v>363</v>
      </c>
      <c r="BL80">
        <v>50</v>
      </c>
      <c r="BM80">
        <v>0.91</v>
      </c>
      <c r="BN80" t="s">
        <v>96</v>
      </c>
      <c r="BO80" t="s">
        <v>92</v>
      </c>
      <c r="BP80" t="s">
        <v>93</v>
      </c>
      <c r="BQ80" t="s">
        <v>94</v>
      </c>
      <c r="BR80">
        <v>1098</v>
      </c>
      <c r="BS80">
        <v>40.4</v>
      </c>
      <c r="BT80" t="s">
        <v>131</v>
      </c>
      <c r="BU80" t="s">
        <v>86</v>
      </c>
      <c r="BV80" t="s">
        <v>86</v>
      </c>
      <c r="BW80" t="s">
        <v>86</v>
      </c>
      <c r="BX80" t="s">
        <v>96</v>
      </c>
      <c r="BY80" t="s">
        <v>86</v>
      </c>
      <c r="BZ80" t="s">
        <v>86</v>
      </c>
      <c r="CA80">
        <v>9</v>
      </c>
      <c r="CB80" t="s">
        <v>97</v>
      </c>
      <c r="CC80" t="s">
        <v>86</v>
      </c>
    </row>
    <row r="81" spans="1:81">
      <c r="A81" t="s">
        <v>288</v>
      </c>
      <c r="B81" t="s">
        <v>289</v>
      </c>
      <c r="C81" t="s">
        <v>345</v>
      </c>
      <c r="D81" t="s">
        <v>83</v>
      </c>
      <c r="E81">
        <v>41</v>
      </c>
      <c r="F81" t="s">
        <v>128</v>
      </c>
      <c r="G81">
        <v>120</v>
      </c>
      <c r="H81">
        <v>169</v>
      </c>
      <c r="I81">
        <v>42</v>
      </c>
      <c r="J81">
        <v>117.9</v>
      </c>
      <c r="K81" t="s">
        <v>85</v>
      </c>
      <c r="L81" t="s">
        <v>86</v>
      </c>
      <c r="M81" t="s">
        <v>87</v>
      </c>
      <c r="N81" t="s">
        <v>86</v>
      </c>
      <c r="O81" t="s">
        <v>86</v>
      </c>
      <c r="P81" t="s">
        <v>108</v>
      </c>
      <c r="Q81">
        <v>28</v>
      </c>
      <c r="R81" t="s">
        <v>86</v>
      </c>
      <c r="S81" t="s">
        <v>87</v>
      </c>
      <c r="T81" t="s">
        <v>89</v>
      </c>
      <c r="U81">
        <v>114</v>
      </c>
      <c r="V81">
        <v>70</v>
      </c>
      <c r="W81">
        <v>84.7</v>
      </c>
      <c r="X81">
        <v>149</v>
      </c>
      <c r="Y81">
        <v>87</v>
      </c>
      <c r="Z81">
        <v>377</v>
      </c>
      <c r="AA81">
        <v>500</v>
      </c>
      <c r="AB81">
        <v>123</v>
      </c>
      <c r="AC81">
        <v>19696</v>
      </c>
      <c r="AD81">
        <v>10.4</v>
      </c>
      <c r="AE81">
        <v>9911</v>
      </c>
      <c r="AF81">
        <v>34.700000000000003</v>
      </c>
      <c r="AG81">
        <v>81</v>
      </c>
      <c r="AH81">
        <v>3486</v>
      </c>
      <c r="AI81">
        <v>43.2</v>
      </c>
      <c r="AJ81">
        <v>5.7</v>
      </c>
      <c r="AK81">
        <v>5.5</v>
      </c>
      <c r="AL81">
        <v>99</v>
      </c>
      <c r="AM81">
        <v>36.9</v>
      </c>
      <c r="AN81">
        <v>296</v>
      </c>
      <c r="AO81">
        <v>200</v>
      </c>
      <c r="AP81">
        <v>29</v>
      </c>
      <c r="AQ81">
        <v>5.2</v>
      </c>
      <c r="AR81">
        <v>133.80000000000001</v>
      </c>
      <c r="AS81">
        <v>4.0999999999999996</v>
      </c>
      <c r="AT81">
        <v>77</v>
      </c>
      <c r="AU81">
        <v>29</v>
      </c>
      <c r="AV81">
        <v>38.299999999999997</v>
      </c>
      <c r="AW81">
        <v>1.3</v>
      </c>
      <c r="AX81">
        <v>4.5999999999999996</v>
      </c>
      <c r="AY81">
        <v>2.8</v>
      </c>
      <c r="AZ81">
        <v>16.399999999999999</v>
      </c>
      <c r="BA81">
        <v>326</v>
      </c>
      <c r="BB81">
        <v>22</v>
      </c>
      <c r="BC81">
        <v>71</v>
      </c>
      <c r="BD81">
        <v>147</v>
      </c>
      <c r="BE81">
        <v>29.7</v>
      </c>
      <c r="BF81" t="s">
        <v>86</v>
      </c>
      <c r="BG81">
        <v>35</v>
      </c>
      <c r="BH81">
        <v>50.7</v>
      </c>
      <c r="BI81">
        <v>-8.5</v>
      </c>
      <c r="BJ81" t="s">
        <v>125</v>
      </c>
      <c r="BK81">
        <v>188</v>
      </c>
      <c r="BL81">
        <v>41</v>
      </c>
      <c r="BM81">
        <v>0.91</v>
      </c>
      <c r="BN81" t="s">
        <v>135</v>
      </c>
      <c r="BO81" t="s">
        <v>92</v>
      </c>
      <c r="BP81" t="s">
        <v>130</v>
      </c>
      <c r="BQ81" t="s">
        <v>94</v>
      </c>
      <c r="BR81">
        <v>1152</v>
      </c>
      <c r="BS81">
        <v>41.4</v>
      </c>
      <c r="BT81" t="s">
        <v>95</v>
      </c>
      <c r="BU81" t="s">
        <v>87</v>
      </c>
      <c r="BV81" t="s">
        <v>86</v>
      </c>
      <c r="BW81" t="s">
        <v>87</v>
      </c>
      <c r="BX81" t="s">
        <v>96</v>
      </c>
      <c r="BY81" t="s">
        <v>86</v>
      </c>
      <c r="BZ81" t="s">
        <v>86</v>
      </c>
      <c r="CA81">
        <v>9</v>
      </c>
      <c r="CB81" t="s">
        <v>97</v>
      </c>
      <c r="CC81" t="s">
        <v>87</v>
      </c>
    </row>
    <row r="82" spans="1:81">
      <c r="A82" t="s">
        <v>290</v>
      </c>
      <c r="B82" t="s">
        <v>291</v>
      </c>
      <c r="C82" t="s">
        <v>345</v>
      </c>
      <c r="D82" t="s">
        <v>83</v>
      </c>
      <c r="E82">
        <v>62</v>
      </c>
      <c r="F82" t="s">
        <v>167</v>
      </c>
      <c r="G82">
        <v>141</v>
      </c>
      <c r="H82">
        <v>183</v>
      </c>
      <c r="I82">
        <v>42.1</v>
      </c>
      <c r="J82">
        <v>127.6</v>
      </c>
      <c r="K82" t="s">
        <v>85</v>
      </c>
      <c r="L82" t="s">
        <v>86</v>
      </c>
      <c r="M82" t="s">
        <v>87</v>
      </c>
      <c r="N82" t="s">
        <v>86</v>
      </c>
      <c r="O82" t="s">
        <v>87</v>
      </c>
      <c r="P82" t="s">
        <v>140</v>
      </c>
      <c r="Q82">
        <v>24</v>
      </c>
      <c r="R82" t="s">
        <v>86</v>
      </c>
      <c r="S82" t="s">
        <v>87</v>
      </c>
      <c r="T82" t="s">
        <v>89</v>
      </c>
      <c r="U82">
        <v>80</v>
      </c>
      <c r="V82">
        <v>72</v>
      </c>
      <c r="W82">
        <v>74.7</v>
      </c>
      <c r="X82">
        <v>105</v>
      </c>
      <c r="Y82">
        <v>87</v>
      </c>
      <c r="Z82">
        <v>513</v>
      </c>
      <c r="AA82">
        <v>531</v>
      </c>
      <c r="AB82">
        <v>18</v>
      </c>
      <c r="AC82">
        <v>10120</v>
      </c>
      <c r="AD82">
        <v>13.1</v>
      </c>
      <c r="AE82">
        <v>12760</v>
      </c>
      <c r="AF82">
        <v>27.5</v>
      </c>
      <c r="AG82">
        <v>80</v>
      </c>
      <c r="AH82">
        <v>1602</v>
      </c>
      <c r="AI82">
        <v>23.3</v>
      </c>
      <c r="AJ82">
        <v>6.1</v>
      </c>
      <c r="AK82">
        <v>6.3</v>
      </c>
      <c r="AL82">
        <v>112</v>
      </c>
      <c r="AM82">
        <v>36.1</v>
      </c>
      <c r="AN82">
        <v>231</v>
      </c>
      <c r="AO82">
        <v>108</v>
      </c>
      <c r="AP82">
        <v>84</v>
      </c>
      <c r="AQ82">
        <v>8.1999999999999993</v>
      </c>
      <c r="AR82">
        <v>143.4</v>
      </c>
      <c r="AS82">
        <v>3.5</v>
      </c>
      <c r="AT82">
        <v>47</v>
      </c>
      <c r="AU82">
        <v>112</v>
      </c>
      <c r="AV82">
        <v>32.5</v>
      </c>
      <c r="AW82">
        <v>3</v>
      </c>
      <c r="AX82">
        <v>11.3</v>
      </c>
      <c r="AY82">
        <v>6.2</v>
      </c>
      <c r="AZ82">
        <v>13.3</v>
      </c>
      <c r="BA82">
        <v>244</v>
      </c>
      <c r="BB82">
        <v>18</v>
      </c>
      <c r="BC82">
        <v>71</v>
      </c>
      <c r="BD82">
        <v>195</v>
      </c>
      <c r="BE82">
        <v>13.2</v>
      </c>
      <c r="BF82" t="s">
        <v>86</v>
      </c>
      <c r="BG82">
        <v>41</v>
      </c>
      <c r="BH82">
        <v>64</v>
      </c>
      <c r="BI82">
        <v>-10.4</v>
      </c>
      <c r="BJ82" t="s">
        <v>90</v>
      </c>
      <c r="BK82">
        <v>160</v>
      </c>
      <c r="BL82">
        <v>24</v>
      </c>
      <c r="BM82">
        <v>1</v>
      </c>
      <c r="BN82" t="s">
        <v>119</v>
      </c>
      <c r="BO82" t="s">
        <v>92</v>
      </c>
      <c r="BP82" t="s">
        <v>93</v>
      </c>
      <c r="BQ82" t="s">
        <v>94</v>
      </c>
      <c r="BR82">
        <v>1060</v>
      </c>
      <c r="BS82">
        <v>37</v>
      </c>
      <c r="BT82" t="s">
        <v>131</v>
      </c>
      <c r="BU82" t="s">
        <v>87</v>
      </c>
      <c r="BV82" t="s">
        <v>86</v>
      </c>
      <c r="BW82" t="s">
        <v>86</v>
      </c>
      <c r="BX82" t="s">
        <v>292</v>
      </c>
      <c r="BY82" t="s">
        <v>86</v>
      </c>
      <c r="BZ82" t="s">
        <v>86</v>
      </c>
      <c r="CA82">
        <v>25</v>
      </c>
      <c r="CB82" t="s">
        <v>104</v>
      </c>
      <c r="CC82" t="s">
        <v>87</v>
      </c>
    </row>
    <row r="83" spans="1:81">
      <c r="A83" t="s">
        <v>293</v>
      </c>
      <c r="B83" t="s">
        <v>294</v>
      </c>
      <c r="C83" t="s">
        <v>345</v>
      </c>
      <c r="D83" t="s">
        <v>83</v>
      </c>
      <c r="E83">
        <v>67</v>
      </c>
      <c r="F83" t="s">
        <v>84</v>
      </c>
      <c r="G83">
        <v>81.400000000000006</v>
      </c>
      <c r="H83">
        <v>165</v>
      </c>
      <c r="I83">
        <v>29.9</v>
      </c>
      <c r="J83">
        <v>99.8</v>
      </c>
      <c r="K83" t="s">
        <v>114</v>
      </c>
      <c r="L83" t="s">
        <v>86</v>
      </c>
      <c r="M83" t="s">
        <v>87</v>
      </c>
      <c r="N83" t="s">
        <v>86</v>
      </c>
      <c r="O83" t="s">
        <v>87</v>
      </c>
      <c r="P83" t="s">
        <v>88</v>
      </c>
      <c r="Q83">
        <v>10</v>
      </c>
      <c r="R83" t="s">
        <v>87</v>
      </c>
      <c r="S83" t="s">
        <v>87</v>
      </c>
      <c r="T83" t="s">
        <v>102</v>
      </c>
      <c r="U83">
        <v>117</v>
      </c>
      <c r="V83">
        <v>64</v>
      </c>
      <c r="W83">
        <v>81.7</v>
      </c>
      <c r="X83">
        <v>92</v>
      </c>
      <c r="Y83">
        <v>99</v>
      </c>
      <c r="Z83">
        <v>1654</v>
      </c>
      <c r="AA83">
        <v>1876</v>
      </c>
      <c r="AB83">
        <v>222</v>
      </c>
      <c r="AC83">
        <v>4916</v>
      </c>
      <c r="AD83">
        <v>32.6</v>
      </c>
      <c r="AE83">
        <v>4633</v>
      </c>
      <c r="AF83">
        <v>115.3</v>
      </c>
      <c r="AG83">
        <v>68</v>
      </c>
      <c r="AH83">
        <v>762</v>
      </c>
      <c r="AI83">
        <v>10.9</v>
      </c>
      <c r="AJ83">
        <v>6</v>
      </c>
      <c r="AK83">
        <v>6.9</v>
      </c>
      <c r="AL83">
        <v>143</v>
      </c>
      <c r="AM83">
        <v>47.1</v>
      </c>
      <c r="AN83">
        <v>224</v>
      </c>
      <c r="AO83">
        <v>105</v>
      </c>
      <c r="AP83">
        <v>65</v>
      </c>
      <c r="AQ83">
        <v>9.5</v>
      </c>
      <c r="AR83">
        <v>135.5</v>
      </c>
      <c r="AS83">
        <v>4.5</v>
      </c>
      <c r="AT83">
        <v>57</v>
      </c>
      <c r="AU83">
        <v>62</v>
      </c>
      <c r="AV83">
        <v>32.1</v>
      </c>
      <c r="AW83">
        <v>1.6</v>
      </c>
      <c r="AX83">
        <v>13.1</v>
      </c>
      <c r="AY83">
        <v>10.5</v>
      </c>
      <c r="AZ83">
        <v>12.6</v>
      </c>
      <c r="BA83">
        <v>384</v>
      </c>
      <c r="BB83">
        <v>31</v>
      </c>
      <c r="BC83">
        <v>67</v>
      </c>
      <c r="BD83">
        <v>149</v>
      </c>
      <c r="BE83">
        <v>20.5</v>
      </c>
      <c r="BF83" t="s">
        <v>86</v>
      </c>
      <c r="BG83">
        <v>48</v>
      </c>
      <c r="BH83">
        <v>33.4</v>
      </c>
      <c r="BI83">
        <v>-7.7</v>
      </c>
      <c r="BJ83" t="s">
        <v>90</v>
      </c>
      <c r="BK83">
        <v>375</v>
      </c>
      <c r="BL83">
        <v>27</v>
      </c>
      <c r="BM83">
        <v>1.05</v>
      </c>
      <c r="BN83" t="s">
        <v>96</v>
      </c>
      <c r="BO83" t="s">
        <v>92</v>
      </c>
      <c r="BP83" t="s">
        <v>93</v>
      </c>
      <c r="BQ83" t="s">
        <v>103</v>
      </c>
      <c r="BR83">
        <v>1108</v>
      </c>
      <c r="BS83">
        <v>32.6</v>
      </c>
      <c r="BT83" t="s">
        <v>131</v>
      </c>
      <c r="BU83" t="s">
        <v>86</v>
      </c>
      <c r="BV83" t="s">
        <v>86</v>
      </c>
      <c r="BW83" t="s">
        <v>86</v>
      </c>
      <c r="BX83" t="s">
        <v>96</v>
      </c>
      <c r="BY83" t="s">
        <v>86</v>
      </c>
      <c r="BZ83" t="s">
        <v>86</v>
      </c>
      <c r="CA83">
        <v>10</v>
      </c>
      <c r="CB83" t="s">
        <v>97</v>
      </c>
      <c r="CC83" t="s">
        <v>86</v>
      </c>
    </row>
    <row r="84" spans="1:81">
      <c r="A84" t="s">
        <v>295</v>
      </c>
      <c r="B84" t="s">
        <v>296</v>
      </c>
      <c r="C84" t="s">
        <v>345</v>
      </c>
      <c r="D84" t="s">
        <v>83</v>
      </c>
      <c r="E84">
        <v>32</v>
      </c>
      <c r="F84" t="s">
        <v>167</v>
      </c>
      <c r="G84">
        <v>100.6</v>
      </c>
      <c r="H84">
        <v>166</v>
      </c>
      <c r="I84">
        <v>36.5</v>
      </c>
      <c r="J84">
        <v>107.8</v>
      </c>
      <c r="K84" t="s">
        <v>123</v>
      </c>
      <c r="L84" t="s">
        <v>86</v>
      </c>
      <c r="M84" t="s">
        <v>87</v>
      </c>
      <c r="N84" t="s">
        <v>87</v>
      </c>
      <c r="O84" t="s">
        <v>86</v>
      </c>
      <c r="P84" t="s">
        <v>140</v>
      </c>
      <c r="Q84">
        <v>28</v>
      </c>
      <c r="R84" t="s">
        <v>86</v>
      </c>
      <c r="S84" t="s">
        <v>87</v>
      </c>
      <c r="T84" t="s">
        <v>102</v>
      </c>
      <c r="U84">
        <v>141</v>
      </c>
      <c r="V84">
        <v>74</v>
      </c>
      <c r="W84">
        <v>96.3</v>
      </c>
      <c r="X84">
        <v>93</v>
      </c>
      <c r="Y84">
        <v>97</v>
      </c>
      <c r="Z84">
        <v>1211</v>
      </c>
      <c r="AA84">
        <v>1179</v>
      </c>
      <c r="AB84">
        <v>-32</v>
      </c>
      <c r="AC84">
        <v>29941</v>
      </c>
      <c r="AD84">
        <v>20.6</v>
      </c>
      <c r="AE84">
        <v>12130</v>
      </c>
      <c r="AF84">
        <v>39.5</v>
      </c>
      <c r="AG84">
        <v>81</v>
      </c>
      <c r="AH84">
        <v>1317</v>
      </c>
      <c r="AI84">
        <v>38.700000000000003</v>
      </c>
      <c r="AJ84">
        <v>8.6</v>
      </c>
      <c r="AK84">
        <v>8.6</v>
      </c>
      <c r="AL84">
        <v>194</v>
      </c>
      <c r="AM84">
        <v>38.200000000000003</v>
      </c>
      <c r="AN84">
        <v>291</v>
      </c>
      <c r="AO84">
        <v>107</v>
      </c>
      <c r="AP84">
        <v>101</v>
      </c>
      <c r="AQ84">
        <v>7.4</v>
      </c>
      <c r="AR84">
        <v>133.80000000000001</v>
      </c>
      <c r="AS84">
        <v>4.3</v>
      </c>
      <c r="AT84">
        <v>98</v>
      </c>
      <c r="AU84">
        <v>73</v>
      </c>
      <c r="AV84">
        <v>39.799999999999997</v>
      </c>
      <c r="AW84">
        <v>2.1</v>
      </c>
      <c r="AX84">
        <v>13.6</v>
      </c>
      <c r="AY84">
        <v>8.3000000000000007</v>
      </c>
      <c r="AZ84">
        <v>13.9</v>
      </c>
      <c r="BA84">
        <v>140</v>
      </c>
      <c r="BB84">
        <v>31</v>
      </c>
      <c r="BC84">
        <v>65</v>
      </c>
      <c r="BD84">
        <v>173</v>
      </c>
      <c r="BE84">
        <v>11.1</v>
      </c>
      <c r="BF84" t="s">
        <v>87</v>
      </c>
      <c r="BG84">
        <v>59</v>
      </c>
      <c r="BH84">
        <v>58.3</v>
      </c>
      <c r="BI84">
        <v>-14</v>
      </c>
      <c r="BJ84" t="s">
        <v>125</v>
      </c>
      <c r="BK84">
        <v>429</v>
      </c>
      <c r="BL84">
        <v>53</v>
      </c>
      <c r="BM84">
        <v>0.96</v>
      </c>
      <c r="BN84" t="s">
        <v>96</v>
      </c>
      <c r="BO84" t="s">
        <v>92</v>
      </c>
      <c r="BP84" t="s">
        <v>93</v>
      </c>
      <c r="BQ84" t="s">
        <v>94</v>
      </c>
      <c r="BR84">
        <v>1089</v>
      </c>
      <c r="BS84">
        <v>33</v>
      </c>
      <c r="BT84" t="s">
        <v>110</v>
      </c>
      <c r="BU84" t="s">
        <v>87</v>
      </c>
      <c r="BV84" t="s">
        <v>87</v>
      </c>
      <c r="BW84" t="s">
        <v>86</v>
      </c>
      <c r="BX84" t="s">
        <v>96</v>
      </c>
      <c r="BY84" t="s">
        <v>86</v>
      </c>
      <c r="BZ84" t="s">
        <v>86</v>
      </c>
      <c r="CA84">
        <v>17</v>
      </c>
      <c r="CB84" t="s">
        <v>97</v>
      </c>
      <c r="CC84" t="s">
        <v>87</v>
      </c>
    </row>
    <row r="85" spans="1:81">
      <c r="A85" t="s">
        <v>297</v>
      </c>
      <c r="B85" t="s">
        <v>298</v>
      </c>
      <c r="C85" t="s">
        <v>345</v>
      </c>
      <c r="D85" t="s">
        <v>83</v>
      </c>
      <c r="E85">
        <v>50</v>
      </c>
      <c r="F85" t="s">
        <v>113</v>
      </c>
      <c r="G85">
        <v>120.9</v>
      </c>
      <c r="H85">
        <v>180</v>
      </c>
      <c r="I85">
        <v>37.299999999999997</v>
      </c>
      <c r="J85">
        <v>109.5</v>
      </c>
      <c r="K85" t="s">
        <v>123</v>
      </c>
      <c r="L85" t="s">
        <v>87</v>
      </c>
      <c r="M85" t="s">
        <v>87</v>
      </c>
      <c r="N85" t="s">
        <v>86</v>
      </c>
      <c r="O85" t="s">
        <v>87</v>
      </c>
      <c r="P85" t="s">
        <v>101</v>
      </c>
      <c r="Q85">
        <v>26</v>
      </c>
      <c r="R85" t="s">
        <v>87</v>
      </c>
      <c r="S85" t="s">
        <v>87</v>
      </c>
      <c r="T85" t="s">
        <v>89</v>
      </c>
      <c r="U85">
        <v>140</v>
      </c>
      <c r="V85">
        <v>69</v>
      </c>
      <c r="W85">
        <v>92.7</v>
      </c>
      <c r="X85">
        <v>117</v>
      </c>
      <c r="Y85">
        <v>91</v>
      </c>
      <c r="Z85">
        <v>2113</v>
      </c>
      <c r="AA85">
        <v>3471</v>
      </c>
      <c r="AB85">
        <v>1358</v>
      </c>
      <c r="AC85">
        <v>10965</v>
      </c>
      <c r="AD85">
        <v>23.8</v>
      </c>
      <c r="AE85">
        <v>1445</v>
      </c>
      <c r="AF85">
        <v>41.5</v>
      </c>
      <c r="AG85">
        <v>78</v>
      </c>
      <c r="AH85">
        <v>1634</v>
      </c>
      <c r="AI85">
        <v>14.4</v>
      </c>
      <c r="AJ85">
        <v>6.1</v>
      </c>
      <c r="AK85">
        <v>5.0999999999999996</v>
      </c>
      <c r="AL85">
        <v>145</v>
      </c>
      <c r="AM85">
        <v>34.6</v>
      </c>
      <c r="AN85">
        <v>151</v>
      </c>
      <c r="AO85">
        <v>110</v>
      </c>
      <c r="AP85">
        <v>74</v>
      </c>
      <c r="AQ85">
        <v>5.5</v>
      </c>
      <c r="AR85">
        <v>131.19999999999999</v>
      </c>
      <c r="AS85">
        <v>3.8</v>
      </c>
      <c r="AT85">
        <v>48</v>
      </c>
      <c r="AU85">
        <v>24</v>
      </c>
      <c r="AV85">
        <v>37.700000000000003</v>
      </c>
      <c r="AW85">
        <v>1.9</v>
      </c>
      <c r="AX85">
        <v>11.3</v>
      </c>
      <c r="AY85">
        <v>4.8</v>
      </c>
      <c r="AZ85">
        <v>11.1</v>
      </c>
      <c r="BA85">
        <v>291</v>
      </c>
      <c r="BB85">
        <v>24</v>
      </c>
      <c r="BC85">
        <v>68</v>
      </c>
      <c r="BD85">
        <v>151</v>
      </c>
      <c r="BE85">
        <v>24.3</v>
      </c>
      <c r="BF85" t="s">
        <v>86</v>
      </c>
      <c r="BG85">
        <v>37</v>
      </c>
      <c r="BH85">
        <v>42.9</v>
      </c>
      <c r="BI85">
        <v>-10.6</v>
      </c>
      <c r="BJ85" t="s">
        <v>90</v>
      </c>
      <c r="BK85">
        <v>176</v>
      </c>
      <c r="BL85">
        <v>16</v>
      </c>
      <c r="BM85">
        <v>0.68</v>
      </c>
      <c r="BN85" t="s">
        <v>91</v>
      </c>
      <c r="BO85" t="s">
        <v>92</v>
      </c>
      <c r="BP85" t="s">
        <v>93</v>
      </c>
      <c r="BQ85" t="s">
        <v>94</v>
      </c>
      <c r="BR85">
        <v>1114</v>
      </c>
      <c r="BS85">
        <v>32.700000000000003</v>
      </c>
      <c r="BT85" t="s">
        <v>131</v>
      </c>
      <c r="BU85" t="s">
        <v>86</v>
      </c>
      <c r="BV85" t="s">
        <v>86</v>
      </c>
      <c r="BW85" t="s">
        <v>86</v>
      </c>
      <c r="BX85" t="s">
        <v>96</v>
      </c>
      <c r="BY85" t="s">
        <v>86</v>
      </c>
      <c r="BZ85" t="s">
        <v>86</v>
      </c>
      <c r="CA85">
        <v>6</v>
      </c>
      <c r="CB85" t="s">
        <v>97</v>
      </c>
      <c r="CC85" t="s">
        <v>86</v>
      </c>
    </row>
    <row r="86" spans="1:81">
      <c r="A86" t="s">
        <v>299</v>
      </c>
      <c r="B86" t="s">
        <v>300</v>
      </c>
      <c r="C86" t="s">
        <v>345</v>
      </c>
      <c r="D86" t="s">
        <v>83</v>
      </c>
      <c r="E86">
        <v>42</v>
      </c>
      <c r="F86" t="s">
        <v>113</v>
      </c>
      <c r="G86">
        <v>117.4</v>
      </c>
      <c r="H86">
        <v>172</v>
      </c>
      <c r="I86">
        <v>39.700000000000003</v>
      </c>
      <c r="J86">
        <v>121.2</v>
      </c>
      <c r="K86" t="s">
        <v>123</v>
      </c>
      <c r="L86" t="s">
        <v>87</v>
      </c>
      <c r="M86" t="s">
        <v>87</v>
      </c>
      <c r="N86" t="s">
        <v>86</v>
      </c>
      <c r="O86" t="s">
        <v>86</v>
      </c>
      <c r="P86" t="s">
        <v>88</v>
      </c>
      <c r="Q86">
        <v>8</v>
      </c>
      <c r="R86" t="s">
        <v>86</v>
      </c>
      <c r="S86" t="s">
        <v>86</v>
      </c>
      <c r="T86" t="s">
        <v>102</v>
      </c>
      <c r="U86">
        <v>162</v>
      </c>
      <c r="V86">
        <v>105</v>
      </c>
      <c r="W86">
        <v>124</v>
      </c>
      <c r="X86">
        <v>92</v>
      </c>
      <c r="Y86">
        <v>91</v>
      </c>
      <c r="Z86">
        <v>593</v>
      </c>
      <c r="AA86">
        <v>542</v>
      </c>
      <c r="AB86">
        <v>-51</v>
      </c>
      <c r="AC86">
        <v>11622</v>
      </c>
      <c r="AD86">
        <v>35.799999999999997</v>
      </c>
      <c r="AE86">
        <v>10774</v>
      </c>
      <c r="AF86">
        <v>45</v>
      </c>
      <c r="AG86">
        <v>45</v>
      </c>
      <c r="AH86">
        <v>944</v>
      </c>
      <c r="AI86">
        <v>12.4</v>
      </c>
      <c r="AJ86">
        <v>6</v>
      </c>
      <c r="AK86">
        <v>6.1</v>
      </c>
      <c r="AL86">
        <v>113</v>
      </c>
      <c r="AM86">
        <v>29.4</v>
      </c>
      <c r="AN86">
        <v>320</v>
      </c>
      <c r="AO86">
        <v>134</v>
      </c>
      <c r="AP86">
        <v>72</v>
      </c>
      <c r="AQ86">
        <v>9.9</v>
      </c>
      <c r="AR86">
        <v>140.1</v>
      </c>
      <c r="AS86">
        <v>4.3</v>
      </c>
      <c r="AT86">
        <v>60</v>
      </c>
      <c r="AU86">
        <v>50</v>
      </c>
      <c r="AV86">
        <v>41.3</v>
      </c>
      <c r="AW86">
        <v>1.7</v>
      </c>
      <c r="AX86">
        <v>8.1</v>
      </c>
      <c r="AY86">
        <v>6.4</v>
      </c>
      <c r="AZ86">
        <v>14.2</v>
      </c>
      <c r="BA86">
        <v>352</v>
      </c>
      <c r="BB86">
        <v>19</v>
      </c>
      <c r="BC86">
        <v>53</v>
      </c>
      <c r="BD86">
        <v>106</v>
      </c>
      <c r="BE86">
        <v>9.6999999999999993</v>
      </c>
      <c r="BF86" t="s">
        <v>86</v>
      </c>
      <c r="BG86">
        <v>43</v>
      </c>
      <c r="BH86">
        <v>35</v>
      </c>
      <c r="BI86">
        <v>-13.8</v>
      </c>
      <c r="BJ86" t="s">
        <v>115</v>
      </c>
      <c r="BK86">
        <v>1140</v>
      </c>
      <c r="BL86">
        <v>9</v>
      </c>
      <c r="BM86">
        <v>0.93</v>
      </c>
      <c r="BN86" t="s">
        <v>91</v>
      </c>
      <c r="BO86" t="s">
        <v>92</v>
      </c>
      <c r="BP86" t="s">
        <v>93</v>
      </c>
      <c r="BQ86" t="s">
        <v>103</v>
      </c>
      <c r="BR86">
        <v>1075</v>
      </c>
      <c r="BS86">
        <v>27</v>
      </c>
      <c r="BT86" t="s">
        <v>110</v>
      </c>
      <c r="BU86" t="s">
        <v>87</v>
      </c>
      <c r="BV86" t="s">
        <v>86</v>
      </c>
      <c r="BW86" t="s">
        <v>87</v>
      </c>
      <c r="BX86" t="s">
        <v>96</v>
      </c>
      <c r="BY86" t="s">
        <v>87</v>
      </c>
      <c r="BZ86" t="s">
        <v>86</v>
      </c>
      <c r="CA86">
        <v>8</v>
      </c>
      <c r="CB86" t="s">
        <v>97</v>
      </c>
      <c r="CC86" t="s">
        <v>87</v>
      </c>
    </row>
    <row r="87" spans="1:81">
      <c r="A87" t="s">
        <v>301</v>
      </c>
      <c r="B87" t="s">
        <v>302</v>
      </c>
      <c r="C87" t="s">
        <v>345</v>
      </c>
      <c r="D87" t="s">
        <v>83</v>
      </c>
      <c r="E87">
        <v>32</v>
      </c>
      <c r="F87" t="s">
        <v>113</v>
      </c>
      <c r="G87">
        <v>114.3</v>
      </c>
      <c r="H87">
        <v>164</v>
      </c>
      <c r="I87">
        <v>42.5</v>
      </c>
      <c r="J87">
        <v>130.5</v>
      </c>
      <c r="K87" t="s">
        <v>85</v>
      </c>
      <c r="L87" t="s">
        <v>87</v>
      </c>
      <c r="M87" t="s">
        <v>87</v>
      </c>
      <c r="N87" t="s">
        <v>87</v>
      </c>
      <c r="O87" t="s">
        <v>87</v>
      </c>
      <c r="P87" t="s">
        <v>101</v>
      </c>
      <c r="Q87">
        <v>12</v>
      </c>
      <c r="R87" t="s">
        <v>87</v>
      </c>
      <c r="S87" t="s">
        <v>86</v>
      </c>
      <c r="T87" t="s">
        <v>89</v>
      </c>
      <c r="U87">
        <v>170</v>
      </c>
      <c r="V87">
        <v>59</v>
      </c>
      <c r="W87">
        <v>96</v>
      </c>
      <c r="X87">
        <v>130</v>
      </c>
      <c r="Y87">
        <v>94</v>
      </c>
      <c r="Z87">
        <v>8504</v>
      </c>
      <c r="AA87">
        <v>12704</v>
      </c>
      <c r="AB87">
        <v>4200</v>
      </c>
      <c r="AC87">
        <v>30014</v>
      </c>
      <c r="AD87">
        <v>47.7</v>
      </c>
      <c r="AE87">
        <v>4316</v>
      </c>
      <c r="AF87">
        <v>64.900000000000006</v>
      </c>
      <c r="AG87">
        <v>62</v>
      </c>
      <c r="AH87">
        <v>1976</v>
      </c>
      <c r="AI87">
        <v>29.1</v>
      </c>
      <c r="AJ87">
        <v>7.5</v>
      </c>
      <c r="AK87">
        <v>9.1</v>
      </c>
      <c r="AL87">
        <v>156</v>
      </c>
      <c r="AM87">
        <v>32.299999999999997</v>
      </c>
      <c r="AN87">
        <v>210</v>
      </c>
      <c r="AO87">
        <v>140</v>
      </c>
      <c r="AP87">
        <v>79</v>
      </c>
      <c r="AQ87">
        <v>4.5999999999999996</v>
      </c>
      <c r="AR87">
        <v>136</v>
      </c>
      <c r="AS87">
        <v>4.5</v>
      </c>
      <c r="AT87">
        <v>25</v>
      </c>
      <c r="AU87">
        <v>112</v>
      </c>
      <c r="AV87">
        <v>35.1</v>
      </c>
      <c r="AW87">
        <v>2.2999999999999998</v>
      </c>
      <c r="AX87">
        <v>7</v>
      </c>
      <c r="AY87">
        <v>10.6</v>
      </c>
      <c r="AZ87">
        <v>14.7</v>
      </c>
      <c r="BA87">
        <v>303</v>
      </c>
      <c r="BB87">
        <v>24</v>
      </c>
      <c r="BC87">
        <v>71</v>
      </c>
      <c r="BD87">
        <v>199</v>
      </c>
      <c r="BE87">
        <v>20.7</v>
      </c>
      <c r="BF87" t="s">
        <v>87</v>
      </c>
      <c r="BG87">
        <v>50</v>
      </c>
      <c r="BH87">
        <v>50.5</v>
      </c>
      <c r="BI87">
        <v>-5.4</v>
      </c>
      <c r="BJ87" t="s">
        <v>118</v>
      </c>
      <c r="BK87">
        <v>480</v>
      </c>
      <c r="BL87">
        <v>12</v>
      </c>
      <c r="BM87">
        <v>0.8</v>
      </c>
      <c r="BN87" t="s">
        <v>135</v>
      </c>
      <c r="BO87" t="s">
        <v>92</v>
      </c>
      <c r="BP87" t="s">
        <v>93</v>
      </c>
      <c r="BQ87" t="s">
        <v>103</v>
      </c>
      <c r="BR87">
        <v>1185</v>
      </c>
      <c r="BS87">
        <v>34.200000000000003</v>
      </c>
      <c r="BT87" t="s">
        <v>153</v>
      </c>
      <c r="BU87" t="s">
        <v>87</v>
      </c>
      <c r="BV87" t="s">
        <v>86</v>
      </c>
      <c r="BW87" t="s">
        <v>87</v>
      </c>
      <c r="BX87" t="s">
        <v>96</v>
      </c>
      <c r="BY87" t="s">
        <v>86</v>
      </c>
      <c r="BZ87" t="s">
        <v>87</v>
      </c>
      <c r="CA87">
        <v>15</v>
      </c>
      <c r="CB87" t="s">
        <v>104</v>
      </c>
      <c r="CC87" t="s">
        <v>87</v>
      </c>
    </row>
    <row r="88" spans="1:81">
      <c r="A88" t="s">
        <v>303</v>
      </c>
      <c r="B88" t="s">
        <v>304</v>
      </c>
      <c r="C88" t="s">
        <v>345</v>
      </c>
      <c r="D88" t="s">
        <v>83</v>
      </c>
      <c r="E88">
        <v>33</v>
      </c>
      <c r="F88" t="s">
        <v>128</v>
      </c>
      <c r="G88">
        <v>129.19999999999999</v>
      </c>
      <c r="H88">
        <v>176</v>
      </c>
      <c r="I88">
        <v>41.7</v>
      </c>
      <c r="J88">
        <v>118.2</v>
      </c>
      <c r="K88" t="s">
        <v>85</v>
      </c>
      <c r="L88" t="s">
        <v>87</v>
      </c>
      <c r="M88" t="s">
        <v>87</v>
      </c>
      <c r="N88" t="s">
        <v>87</v>
      </c>
      <c r="O88" t="s">
        <v>86</v>
      </c>
      <c r="P88" t="s">
        <v>134</v>
      </c>
      <c r="Q88">
        <v>0</v>
      </c>
      <c r="R88" t="s">
        <v>86</v>
      </c>
      <c r="S88" t="s">
        <v>87</v>
      </c>
      <c r="T88" t="s">
        <v>102</v>
      </c>
      <c r="U88">
        <v>123</v>
      </c>
      <c r="V88">
        <v>60</v>
      </c>
      <c r="W88">
        <v>81</v>
      </c>
      <c r="X88">
        <v>132</v>
      </c>
      <c r="Y88">
        <v>89</v>
      </c>
      <c r="Z88">
        <v>505</v>
      </c>
      <c r="AA88">
        <v>742</v>
      </c>
      <c r="AB88">
        <v>237</v>
      </c>
      <c r="AC88">
        <v>31924</v>
      </c>
      <c r="AD88">
        <v>16.8</v>
      </c>
      <c r="AE88">
        <v>3088</v>
      </c>
      <c r="AF88">
        <v>29.1</v>
      </c>
      <c r="AG88">
        <v>44</v>
      </c>
      <c r="AH88">
        <v>306</v>
      </c>
      <c r="AI88">
        <v>31.3</v>
      </c>
      <c r="AJ88">
        <v>6.3</v>
      </c>
      <c r="AK88">
        <v>9.8000000000000007</v>
      </c>
      <c r="AL88">
        <v>181</v>
      </c>
      <c r="AM88">
        <v>50.9</v>
      </c>
      <c r="AN88">
        <v>342</v>
      </c>
      <c r="AO88">
        <v>75</v>
      </c>
      <c r="AP88">
        <v>93</v>
      </c>
      <c r="AQ88">
        <v>7.5</v>
      </c>
      <c r="AR88">
        <v>136.9</v>
      </c>
      <c r="AS88">
        <v>3.8</v>
      </c>
      <c r="AT88">
        <v>75</v>
      </c>
      <c r="AU88">
        <v>65</v>
      </c>
      <c r="AV88">
        <v>31.7</v>
      </c>
      <c r="AW88">
        <v>2</v>
      </c>
      <c r="AX88">
        <v>7.8</v>
      </c>
      <c r="AY88">
        <v>9.9</v>
      </c>
      <c r="AZ88">
        <v>12.5</v>
      </c>
      <c r="BA88">
        <v>313</v>
      </c>
      <c r="BB88">
        <v>28</v>
      </c>
      <c r="BC88">
        <v>60</v>
      </c>
      <c r="BD88">
        <v>159</v>
      </c>
      <c r="BE88">
        <v>8</v>
      </c>
      <c r="BF88" t="s">
        <v>87</v>
      </c>
      <c r="BG88">
        <v>58</v>
      </c>
      <c r="BH88">
        <v>40.9</v>
      </c>
      <c r="BI88">
        <v>-10.6</v>
      </c>
      <c r="BJ88" t="s">
        <v>90</v>
      </c>
      <c r="BK88">
        <v>25</v>
      </c>
      <c r="BL88">
        <v>9</v>
      </c>
      <c r="BM88">
        <v>1.07</v>
      </c>
      <c r="BN88" t="s">
        <v>96</v>
      </c>
      <c r="BO88" t="s">
        <v>92</v>
      </c>
      <c r="BP88" t="s">
        <v>93</v>
      </c>
      <c r="BQ88" t="s">
        <v>103</v>
      </c>
      <c r="BR88">
        <v>1059</v>
      </c>
      <c r="BS88">
        <v>34.200000000000003</v>
      </c>
      <c r="BT88" t="s">
        <v>95</v>
      </c>
      <c r="BU88" t="s">
        <v>86</v>
      </c>
      <c r="BV88" t="s">
        <v>86</v>
      </c>
      <c r="BW88" t="s">
        <v>86</v>
      </c>
      <c r="BX88" t="s">
        <v>96</v>
      </c>
      <c r="BY88" t="s">
        <v>86</v>
      </c>
      <c r="BZ88" t="s">
        <v>86</v>
      </c>
      <c r="CA88">
        <v>3</v>
      </c>
      <c r="CB88" t="s">
        <v>97</v>
      </c>
      <c r="CC88" t="s">
        <v>86</v>
      </c>
    </row>
    <row r="89" spans="1:81">
      <c r="A89" t="s">
        <v>305</v>
      </c>
      <c r="B89" t="s">
        <v>117</v>
      </c>
      <c r="C89" t="s">
        <v>345</v>
      </c>
      <c r="D89" t="s">
        <v>83</v>
      </c>
      <c r="E89">
        <v>61</v>
      </c>
      <c r="F89" t="s">
        <v>84</v>
      </c>
      <c r="G89">
        <v>98.2</v>
      </c>
      <c r="H89">
        <v>172</v>
      </c>
      <c r="I89">
        <v>33.200000000000003</v>
      </c>
      <c r="J89">
        <v>110.6</v>
      </c>
      <c r="K89" t="s">
        <v>100</v>
      </c>
      <c r="L89" t="s">
        <v>86</v>
      </c>
      <c r="M89" t="s">
        <v>86</v>
      </c>
      <c r="N89" t="s">
        <v>86</v>
      </c>
      <c r="O89" t="s">
        <v>86</v>
      </c>
      <c r="P89" t="s">
        <v>88</v>
      </c>
      <c r="Q89">
        <v>16</v>
      </c>
      <c r="R89" t="s">
        <v>86</v>
      </c>
      <c r="S89" t="s">
        <v>86</v>
      </c>
      <c r="T89" t="s">
        <v>102</v>
      </c>
      <c r="U89">
        <v>114</v>
      </c>
      <c r="V89">
        <v>103</v>
      </c>
      <c r="W89">
        <v>106.7</v>
      </c>
      <c r="X89">
        <v>117</v>
      </c>
      <c r="Y89">
        <v>99</v>
      </c>
      <c r="Z89">
        <v>1680</v>
      </c>
      <c r="AA89">
        <v>1700</v>
      </c>
      <c r="AB89">
        <v>20</v>
      </c>
      <c r="AC89">
        <v>1938</v>
      </c>
      <c r="AD89">
        <v>11.1</v>
      </c>
      <c r="AE89">
        <v>2044</v>
      </c>
      <c r="AF89">
        <v>98.9</v>
      </c>
      <c r="AG89">
        <v>76</v>
      </c>
      <c r="AH89">
        <v>1258</v>
      </c>
      <c r="AI89">
        <v>33.5</v>
      </c>
      <c r="AJ89">
        <v>5.9</v>
      </c>
      <c r="AK89">
        <v>5.5</v>
      </c>
      <c r="AL89">
        <v>111</v>
      </c>
      <c r="AM89">
        <v>40.299999999999997</v>
      </c>
      <c r="AN89">
        <v>90</v>
      </c>
      <c r="AO89">
        <v>104</v>
      </c>
      <c r="AP89">
        <v>77</v>
      </c>
      <c r="AQ89">
        <v>4.3</v>
      </c>
      <c r="AR89">
        <v>133</v>
      </c>
      <c r="AS89">
        <v>3.8</v>
      </c>
      <c r="AT89">
        <v>45</v>
      </c>
      <c r="AU89">
        <v>91</v>
      </c>
      <c r="AV89">
        <v>29.7</v>
      </c>
      <c r="AW89">
        <v>1.4</v>
      </c>
      <c r="AX89">
        <v>13.5</v>
      </c>
      <c r="AY89">
        <v>9.1</v>
      </c>
      <c r="AZ89">
        <v>14.8</v>
      </c>
      <c r="BA89">
        <v>361</v>
      </c>
      <c r="BB89">
        <v>49</v>
      </c>
      <c r="BC89">
        <v>63</v>
      </c>
      <c r="BD89">
        <v>86</v>
      </c>
      <c r="BE89">
        <v>12.2</v>
      </c>
      <c r="BF89" t="s">
        <v>86</v>
      </c>
      <c r="BG89">
        <v>22</v>
      </c>
      <c r="BH89">
        <v>63.9</v>
      </c>
      <c r="BI89">
        <v>-12.4</v>
      </c>
      <c r="BJ89" t="s">
        <v>125</v>
      </c>
      <c r="BK89">
        <v>631</v>
      </c>
      <c r="BL89">
        <v>33</v>
      </c>
      <c r="BM89">
        <v>0.95</v>
      </c>
      <c r="BN89" t="s">
        <v>96</v>
      </c>
      <c r="BO89" t="s">
        <v>92</v>
      </c>
      <c r="BP89" t="s">
        <v>93</v>
      </c>
      <c r="BQ89" t="s">
        <v>103</v>
      </c>
      <c r="BR89">
        <v>1075</v>
      </c>
      <c r="BS89">
        <v>37.1</v>
      </c>
      <c r="BT89" t="s">
        <v>110</v>
      </c>
      <c r="BU89" t="s">
        <v>87</v>
      </c>
      <c r="BV89" t="s">
        <v>86</v>
      </c>
      <c r="BW89" t="s">
        <v>87</v>
      </c>
      <c r="BX89" t="s">
        <v>96</v>
      </c>
      <c r="BY89" t="s">
        <v>86</v>
      </c>
      <c r="BZ89" t="s">
        <v>86</v>
      </c>
      <c r="CA89">
        <v>13</v>
      </c>
      <c r="CB89" t="s">
        <v>104</v>
      </c>
      <c r="CC89" t="s">
        <v>87</v>
      </c>
    </row>
    <row r="90" spans="1:81">
      <c r="A90" t="s">
        <v>306</v>
      </c>
      <c r="B90" t="s">
        <v>307</v>
      </c>
      <c r="C90" t="s">
        <v>345</v>
      </c>
      <c r="D90" t="s">
        <v>83</v>
      </c>
      <c r="E90">
        <v>60</v>
      </c>
      <c r="F90" t="s">
        <v>107</v>
      </c>
      <c r="G90">
        <v>115.2</v>
      </c>
      <c r="H90">
        <v>173</v>
      </c>
      <c r="I90">
        <v>38.5</v>
      </c>
      <c r="J90">
        <v>113.4</v>
      </c>
      <c r="K90" t="s">
        <v>123</v>
      </c>
      <c r="L90" t="s">
        <v>86</v>
      </c>
      <c r="M90" t="s">
        <v>87</v>
      </c>
      <c r="N90" t="s">
        <v>87</v>
      </c>
      <c r="O90" t="s">
        <v>86</v>
      </c>
      <c r="P90" t="s">
        <v>134</v>
      </c>
      <c r="Q90">
        <v>0</v>
      </c>
      <c r="R90" t="s">
        <v>86</v>
      </c>
      <c r="S90" t="s">
        <v>87</v>
      </c>
      <c r="T90" t="s">
        <v>89</v>
      </c>
      <c r="U90">
        <v>110</v>
      </c>
      <c r="V90">
        <v>53</v>
      </c>
      <c r="W90">
        <v>72</v>
      </c>
      <c r="X90">
        <v>121</v>
      </c>
      <c r="Y90">
        <v>91</v>
      </c>
      <c r="Z90">
        <v>452</v>
      </c>
      <c r="AA90">
        <v>429</v>
      </c>
      <c r="AB90">
        <v>-23</v>
      </c>
      <c r="AC90">
        <v>9420</v>
      </c>
      <c r="AD90">
        <v>29.4</v>
      </c>
      <c r="AE90">
        <v>1787</v>
      </c>
      <c r="AF90">
        <v>18.600000000000001</v>
      </c>
      <c r="AG90">
        <v>42</v>
      </c>
      <c r="AH90">
        <v>1188</v>
      </c>
      <c r="AI90">
        <v>11.2</v>
      </c>
      <c r="AJ90">
        <v>8.9</v>
      </c>
      <c r="AK90">
        <v>12.6</v>
      </c>
      <c r="AL90">
        <v>112</v>
      </c>
      <c r="AM90">
        <v>39.799999999999997</v>
      </c>
      <c r="AN90">
        <v>216</v>
      </c>
      <c r="AO90">
        <v>103</v>
      </c>
      <c r="AP90">
        <v>86</v>
      </c>
      <c r="AQ90">
        <v>5.6</v>
      </c>
      <c r="AR90">
        <v>135.80000000000001</v>
      </c>
      <c r="AS90">
        <v>4.2</v>
      </c>
      <c r="AT90">
        <v>26</v>
      </c>
      <c r="AU90">
        <v>43</v>
      </c>
      <c r="AV90">
        <v>34.200000000000003</v>
      </c>
      <c r="AW90">
        <v>2.9</v>
      </c>
      <c r="AX90">
        <v>8.6</v>
      </c>
      <c r="AY90">
        <v>6.4</v>
      </c>
      <c r="AZ90">
        <v>15.5</v>
      </c>
      <c r="BA90">
        <v>182</v>
      </c>
      <c r="BB90">
        <v>14</v>
      </c>
      <c r="BC90">
        <v>55</v>
      </c>
      <c r="BD90">
        <v>158</v>
      </c>
      <c r="BE90">
        <v>11</v>
      </c>
      <c r="BF90" t="s">
        <v>87</v>
      </c>
      <c r="BG90">
        <v>61</v>
      </c>
      <c r="BH90">
        <v>34.799999999999997</v>
      </c>
      <c r="BI90">
        <v>-7.2</v>
      </c>
      <c r="BJ90" t="s">
        <v>90</v>
      </c>
      <c r="BK90">
        <v>1387</v>
      </c>
      <c r="BL90">
        <v>37</v>
      </c>
      <c r="BM90">
        <v>0.84</v>
      </c>
      <c r="BN90" t="s">
        <v>96</v>
      </c>
      <c r="BO90" t="s">
        <v>92</v>
      </c>
      <c r="BP90" t="s">
        <v>93</v>
      </c>
      <c r="BQ90" t="s">
        <v>94</v>
      </c>
      <c r="BR90">
        <v>1080</v>
      </c>
      <c r="BS90">
        <v>37.200000000000003</v>
      </c>
      <c r="BT90" t="s">
        <v>95</v>
      </c>
      <c r="BU90" t="s">
        <v>87</v>
      </c>
      <c r="BV90" t="s">
        <v>87</v>
      </c>
      <c r="BW90" t="s">
        <v>87</v>
      </c>
      <c r="BX90" t="s">
        <v>96</v>
      </c>
      <c r="BY90" t="s">
        <v>86</v>
      </c>
      <c r="BZ90" t="s">
        <v>86</v>
      </c>
      <c r="CA90">
        <v>11</v>
      </c>
      <c r="CB90" t="s">
        <v>104</v>
      </c>
      <c r="CC90" t="s">
        <v>87</v>
      </c>
    </row>
    <row r="91" spans="1:81">
      <c r="A91" t="s">
        <v>308</v>
      </c>
      <c r="B91" t="s">
        <v>309</v>
      </c>
      <c r="C91" t="s">
        <v>345</v>
      </c>
      <c r="D91" t="s">
        <v>83</v>
      </c>
      <c r="E91">
        <v>67</v>
      </c>
      <c r="F91" t="s">
        <v>167</v>
      </c>
      <c r="G91">
        <v>100.3</v>
      </c>
      <c r="H91">
        <v>164</v>
      </c>
      <c r="I91">
        <v>37.299999999999997</v>
      </c>
      <c r="J91">
        <v>108.3</v>
      </c>
      <c r="K91" t="s">
        <v>123</v>
      </c>
      <c r="L91" t="s">
        <v>86</v>
      </c>
      <c r="M91" t="s">
        <v>87</v>
      </c>
      <c r="N91" t="s">
        <v>87</v>
      </c>
      <c r="O91" t="s">
        <v>87</v>
      </c>
      <c r="P91" t="s">
        <v>134</v>
      </c>
      <c r="Q91">
        <v>0</v>
      </c>
      <c r="R91" t="s">
        <v>86</v>
      </c>
      <c r="S91" t="s">
        <v>87</v>
      </c>
      <c r="T91" t="s">
        <v>102</v>
      </c>
      <c r="U91">
        <v>75</v>
      </c>
      <c r="V91">
        <v>80</v>
      </c>
      <c r="W91">
        <v>78.3</v>
      </c>
      <c r="X91">
        <v>94</v>
      </c>
      <c r="Y91">
        <v>93</v>
      </c>
      <c r="Z91">
        <v>2602</v>
      </c>
      <c r="AA91">
        <v>4199</v>
      </c>
      <c r="AB91">
        <v>1597</v>
      </c>
      <c r="AC91">
        <v>7568</v>
      </c>
      <c r="AD91">
        <v>29.7</v>
      </c>
      <c r="AE91">
        <v>2778</v>
      </c>
      <c r="AF91">
        <v>10.3</v>
      </c>
      <c r="AG91">
        <v>67</v>
      </c>
      <c r="AH91">
        <v>475</v>
      </c>
      <c r="AI91">
        <v>19.399999999999999</v>
      </c>
      <c r="AJ91">
        <v>9.4</v>
      </c>
      <c r="AK91">
        <v>13.6</v>
      </c>
      <c r="AL91">
        <v>173</v>
      </c>
      <c r="AM91">
        <v>36.1</v>
      </c>
      <c r="AN91">
        <v>166</v>
      </c>
      <c r="AO91">
        <v>62</v>
      </c>
      <c r="AP91">
        <v>104</v>
      </c>
      <c r="AQ91">
        <v>11.1</v>
      </c>
      <c r="AR91">
        <v>137.4</v>
      </c>
      <c r="AS91">
        <v>3.4</v>
      </c>
      <c r="AT91">
        <v>42</v>
      </c>
      <c r="AU91">
        <v>80</v>
      </c>
      <c r="AV91">
        <v>39.799999999999997</v>
      </c>
      <c r="AW91">
        <v>2.4</v>
      </c>
      <c r="AX91">
        <v>9.8000000000000007</v>
      </c>
      <c r="AY91">
        <v>5.3</v>
      </c>
      <c r="AZ91">
        <v>13.5</v>
      </c>
      <c r="BA91">
        <v>265</v>
      </c>
      <c r="BB91">
        <v>34</v>
      </c>
      <c r="BC91">
        <v>70</v>
      </c>
      <c r="BD91">
        <v>178</v>
      </c>
      <c r="BE91">
        <v>10.7</v>
      </c>
      <c r="BF91" t="s">
        <v>86</v>
      </c>
      <c r="BG91">
        <v>31</v>
      </c>
      <c r="BH91">
        <v>45.1</v>
      </c>
      <c r="BI91">
        <v>-12.4</v>
      </c>
      <c r="BJ91" t="s">
        <v>118</v>
      </c>
      <c r="BK91">
        <v>164</v>
      </c>
      <c r="BL91">
        <v>19</v>
      </c>
      <c r="BM91">
        <v>0.89</v>
      </c>
      <c r="BN91" t="s">
        <v>119</v>
      </c>
      <c r="BO91" t="s">
        <v>92</v>
      </c>
      <c r="BP91" t="s">
        <v>93</v>
      </c>
      <c r="BQ91" t="s">
        <v>103</v>
      </c>
      <c r="BR91">
        <v>999</v>
      </c>
      <c r="BS91">
        <v>26.6</v>
      </c>
      <c r="BT91" t="s">
        <v>131</v>
      </c>
      <c r="BU91" t="s">
        <v>86</v>
      </c>
      <c r="BV91" t="s">
        <v>86</v>
      </c>
      <c r="BW91" t="s">
        <v>86</v>
      </c>
      <c r="BX91" t="s">
        <v>96</v>
      </c>
      <c r="BY91" t="s">
        <v>86</v>
      </c>
      <c r="BZ91" t="s">
        <v>87</v>
      </c>
      <c r="CA91">
        <v>7</v>
      </c>
      <c r="CB91" t="s">
        <v>97</v>
      </c>
      <c r="CC91" t="s">
        <v>86</v>
      </c>
    </row>
    <row r="92" spans="1:81">
      <c r="A92" t="s">
        <v>310</v>
      </c>
      <c r="B92" t="s">
        <v>311</v>
      </c>
      <c r="C92" t="s">
        <v>345</v>
      </c>
      <c r="D92" t="s">
        <v>83</v>
      </c>
      <c r="E92">
        <v>31</v>
      </c>
      <c r="F92" t="s">
        <v>107</v>
      </c>
      <c r="G92">
        <v>91.4</v>
      </c>
      <c r="H92">
        <v>176</v>
      </c>
      <c r="I92">
        <v>29.5</v>
      </c>
      <c r="J92">
        <v>96.5</v>
      </c>
      <c r="K92" t="s">
        <v>114</v>
      </c>
      <c r="L92" t="s">
        <v>87</v>
      </c>
      <c r="M92" t="s">
        <v>87</v>
      </c>
      <c r="N92" t="s">
        <v>87</v>
      </c>
      <c r="O92" t="s">
        <v>87</v>
      </c>
      <c r="P92" t="s">
        <v>108</v>
      </c>
      <c r="Q92">
        <v>7</v>
      </c>
      <c r="R92" t="s">
        <v>86</v>
      </c>
      <c r="S92" t="s">
        <v>87</v>
      </c>
      <c r="T92" t="s">
        <v>102</v>
      </c>
      <c r="U92">
        <v>141</v>
      </c>
      <c r="V92">
        <v>90</v>
      </c>
      <c r="W92">
        <v>107</v>
      </c>
      <c r="X92">
        <v>149</v>
      </c>
      <c r="Y92">
        <v>95</v>
      </c>
      <c r="Z92">
        <v>1920</v>
      </c>
      <c r="AA92">
        <v>2525</v>
      </c>
      <c r="AB92">
        <v>605</v>
      </c>
      <c r="AC92">
        <v>5338</v>
      </c>
      <c r="AD92">
        <v>13.5</v>
      </c>
      <c r="AE92">
        <v>4538</v>
      </c>
      <c r="AF92">
        <v>32</v>
      </c>
      <c r="AG92">
        <v>44</v>
      </c>
      <c r="AH92">
        <v>628</v>
      </c>
      <c r="AI92">
        <v>84.1</v>
      </c>
      <c r="AJ92">
        <v>9.3000000000000007</v>
      </c>
      <c r="AK92">
        <v>12.3</v>
      </c>
      <c r="AL92">
        <v>152</v>
      </c>
      <c r="AM92">
        <v>35.4</v>
      </c>
      <c r="AN92">
        <v>248</v>
      </c>
      <c r="AO92">
        <v>144</v>
      </c>
      <c r="AP92">
        <v>79</v>
      </c>
      <c r="AQ92">
        <v>5.3</v>
      </c>
      <c r="AR92">
        <v>133.1</v>
      </c>
      <c r="AS92">
        <v>4.2</v>
      </c>
      <c r="AT92">
        <v>76</v>
      </c>
      <c r="AU92">
        <v>55</v>
      </c>
      <c r="AV92">
        <v>37.200000000000003</v>
      </c>
      <c r="AW92">
        <v>2</v>
      </c>
      <c r="AX92">
        <v>10</v>
      </c>
      <c r="AY92">
        <v>5.7</v>
      </c>
      <c r="AZ92">
        <v>14.5</v>
      </c>
      <c r="BA92">
        <v>167</v>
      </c>
      <c r="BB92">
        <v>30</v>
      </c>
      <c r="BC92">
        <v>58</v>
      </c>
      <c r="BD92">
        <v>136</v>
      </c>
      <c r="BE92">
        <v>11.4</v>
      </c>
      <c r="BF92" t="s">
        <v>86</v>
      </c>
      <c r="BG92">
        <v>24</v>
      </c>
      <c r="BH92">
        <v>60.8</v>
      </c>
      <c r="BI92">
        <v>-16.3</v>
      </c>
      <c r="BJ92" t="s">
        <v>125</v>
      </c>
      <c r="BK92">
        <v>256</v>
      </c>
      <c r="BL92">
        <v>38</v>
      </c>
      <c r="BM92">
        <v>0.81</v>
      </c>
      <c r="BN92" t="s">
        <v>96</v>
      </c>
      <c r="BO92" t="s">
        <v>109</v>
      </c>
      <c r="BP92" t="s">
        <v>93</v>
      </c>
      <c r="BQ92" t="s">
        <v>103</v>
      </c>
      <c r="BR92">
        <v>994</v>
      </c>
      <c r="BS92">
        <v>34.200000000000003</v>
      </c>
      <c r="BT92" t="s">
        <v>95</v>
      </c>
      <c r="BU92" t="s">
        <v>87</v>
      </c>
      <c r="BV92" t="s">
        <v>87</v>
      </c>
      <c r="BW92" t="s">
        <v>87</v>
      </c>
      <c r="BX92" t="s">
        <v>96</v>
      </c>
      <c r="BY92" t="s">
        <v>86</v>
      </c>
      <c r="BZ92" t="s">
        <v>86</v>
      </c>
      <c r="CA92">
        <v>11</v>
      </c>
      <c r="CB92" t="s">
        <v>104</v>
      </c>
      <c r="CC92" t="s">
        <v>87</v>
      </c>
    </row>
    <row r="93" spans="1:81">
      <c r="A93" t="s">
        <v>312</v>
      </c>
      <c r="B93" t="s">
        <v>313</v>
      </c>
      <c r="C93" t="s">
        <v>345</v>
      </c>
      <c r="D93" t="s">
        <v>83</v>
      </c>
      <c r="E93">
        <v>33</v>
      </c>
      <c r="F93" t="s">
        <v>107</v>
      </c>
      <c r="G93">
        <v>116</v>
      </c>
      <c r="H93">
        <v>174</v>
      </c>
      <c r="I93">
        <v>38.299999999999997</v>
      </c>
      <c r="J93">
        <v>119.7</v>
      </c>
      <c r="K93" t="s">
        <v>123</v>
      </c>
      <c r="L93" t="s">
        <v>87</v>
      </c>
      <c r="M93" t="s">
        <v>87</v>
      </c>
      <c r="N93" t="s">
        <v>86</v>
      </c>
      <c r="O93" t="s">
        <v>87</v>
      </c>
      <c r="P93" t="s">
        <v>88</v>
      </c>
      <c r="Q93">
        <v>5</v>
      </c>
      <c r="R93" t="s">
        <v>86</v>
      </c>
      <c r="S93" t="s">
        <v>87</v>
      </c>
      <c r="T93" t="s">
        <v>89</v>
      </c>
      <c r="U93">
        <v>107</v>
      </c>
      <c r="V93">
        <v>68</v>
      </c>
      <c r="W93">
        <v>81</v>
      </c>
      <c r="X93">
        <v>144</v>
      </c>
      <c r="Y93">
        <v>92</v>
      </c>
      <c r="Z93">
        <v>1737</v>
      </c>
      <c r="AA93">
        <v>2573</v>
      </c>
      <c r="AB93">
        <v>836</v>
      </c>
      <c r="AC93">
        <v>8901</v>
      </c>
      <c r="AD93">
        <v>18.100000000000001</v>
      </c>
      <c r="AE93">
        <v>2569</v>
      </c>
      <c r="AF93">
        <v>35.799999999999997</v>
      </c>
      <c r="AG93">
        <v>65</v>
      </c>
      <c r="AH93">
        <v>894</v>
      </c>
      <c r="AI93">
        <v>76.7</v>
      </c>
      <c r="AJ93">
        <v>6.2</v>
      </c>
      <c r="AK93">
        <v>5.8</v>
      </c>
      <c r="AL93">
        <v>114</v>
      </c>
      <c r="AM93">
        <v>34.799999999999997</v>
      </c>
      <c r="AN93">
        <v>302</v>
      </c>
      <c r="AO93">
        <v>147</v>
      </c>
      <c r="AP93">
        <v>80</v>
      </c>
      <c r="AQ93">
        <v>5.8</v>
      </c>
      <c r="AR93">
        <v>138.9</v>
      </c>
      <c r="AS93">
        <v>4.0999999999999996</v>
      </c>
      <c r="AT93">
        <v>98</v>
      </c>
      <c r="AU93">
        <v>134</v>
      </c>
      <c r="AV93">
        <v>40</v>
      </c>
      <c r="AW93">
        <v>1.7</v>
      </c>
      <c r="AX93">
        <v>6.9</v>
      </c>
      <c r="AY93">
        <v>4.9000000000000004</v>
      </c>
      <c r="AZ93">
        <v>14.1</v>
      </c>
      <c r="BA93">
        <v>285</v>
      </c>
      <c r="BB93">
        <v>18</v>
      </c>
      <c r="BC93">
        <v>71</v>
      </c>
      <c r="BD93">
        <v>199</v>
      </c>
      <c r="BE93">
        <v>14.4</v>
      </c>
      <c r="BF93" t="s">
        <v>86</v>
      </c>
      <c r="BG93">
        <v>42</v>
      </c>
      <c r="BH93">
        <v>60.2</v>
      </c>
      <c r="BI93">
        <v>-9.6999999999999993</v>
      </c>
      <c r="BJ93" t="s">
        <v>90</v>
      </c>
      <c r="BK93">
        <v>32</v>
      </c>
      <c r="BL93">
        <v>44</v>
      </c>
      <c r="BM93">
        <v>1.03</v>
      </c>
      <c r="BN93" t="s">
        <v>135</v>
      </c>
      <c r="BO93" t="s">
        <v>92</v>
      </c>
      <c r="BP93" t="s">
        <v>130</v>
      </c>
      <c r="BQ93" t="s">
        <v>103</v>
      </c>
      <c r="BR93">
        <v>992</v>
      </c>
      <c r="BS93">
        <v>32.4</v>
      </c>
      <c r="BT93" t="s">
        <v>95</v>
      </c>
      <c r="BU93" t="s">
        <v>87</v>
      </c>
      <c r="BV93" t="s">
        <v>87</v>
      </c>
      <c r="BW93" t="s">
        <v>86</v>
      </c>
      <c r="BX93" t="s">
        <v>96</v>
      </c>
      <c r="BY93" t="s">
        <v>86</v>
      </c>
      <c r="BZ93" t="s">
        <v>86</v>
      </c>
      <c r="CA93">
        <v>11</v>
      </c>
      <c r="CB93" t="s">
        <v>97</v>
      </c>
      <c r="CC93" t="s">
        <v>87</v>
      </c>
    </row>
    <row r="94" spans="1:81">
      <c r="A94" t="s">
        <v>314</v>
      </c>
      <c r="B94" t="s">
        <v>315</v>
      </c>
      <c r="C94" t="s">
        <v>345</v>
      </c>
      <c r="D94" t="s">
        <v>83</v>
      </c>
      <c r="E94">
        <v>55</v>
      </c>
      <c r="F94" t="s">
        <v>113</v>
      </c>
      <c r="G94">
        <v>87.3</v>
      </c>
      <c r="H94">
        <v>175</v>
      </c>
      <c r="I94">
        <v>28.5</v>
      </c>
      <c r="J94">
        <v>87</v>
      </c>
      <c r="K94" t="s">
        <v>114</v>
      </c>
      <c r="L94" t="s">
        <v>86</v>
      </c>
      <c r="M94" t="s">
        <v>87</v>
      </c>
      <c r="N94" t="s">
        <v>86</v>
      </c>
      <c r="O94" t="s">
        <v>87</v>
      </c>
      <c r="P94" t="s">
        <v>88</v>
      </c>
      <c r="Q94">
        <v>5</v>
      </c>
      <c r="R94" t="s">
        <v>86</v>
      </c>
      <c r="S94" t="s">
        <v>86</v>
      </c>
      <c r="T94" t="s">
        <v>102</v>
      </c>
      <c r="U94">
        <v>139</v>
      </c>
      <c r="V94">
        <v>85</v>
      </c>
      <c r="W94">
        <v>103</v>
      </c>
      <c r="X94">
        <v>145</v>
      </c>
      <c r="Y94">
        <v>98</v>
      </c>
      <c r="Z94">
        <v>2724</v>
      </c>
      <c r="AA94">
        <v>3202</v>
      </c>
      <c r="AB94">
        <v>478</v>
      </c>
      <c r="AC94">
        <v>11815</v>
      </c>
      <c r="AD94">
        <v>42</v>
      </c>
      <c r="AE94">
        <v>1692</v>
      </c>
      <c r="AF94">
        <v>21</v>
      </c>
      <c r="AG94">
        <v>45</v>
      </c>
      <c r="AH94">
        <v>712</v>
      </c>
      <c r="AI94">
        <v>19</v>
      </c>
      <c r="AJ94">
        <v>5.7</v>
      </c>
      <c r="AK94">
        <v>6.3</v>
      </c>
      <c r="AL94">
        <v>193</v>
      </c>
      <c r="AM94">
        <v>47</v>
      </c>
      <c r="AN94">
        <v>262</v>
      </c>
      <c r="AO94">
        <v>101</v>
      </c>
      <c r="AP94">
        <v>70</v>
      </c>
      <c r="AQ94">
        <v>5.7</v>
      </c>
      <c r="AR94">
        <v>139</v>
      </c>
      <c r="AS94">
        <v>3.9</v>
      </c>
      <c r="AT94">
        <v>38</v>
      </c>
      <c r="AU94">
        <v>77</v>
      </c>
      <c r="AV94">
        <v>35.1</v>
      </c>
      <c r="AW94">
        <v>1.5</v>
      </c>
      <c r="AX94">
        <v>10.7</v>
      </c>
      <c r="AY94">
        <v>6.4</v>
      </c>
      <c r="AZ94">
        <v>13.5</v>
      </c>
      <c r="BA94">
        <v>190</v>
      </c>
      <c r="BB94">
        <v>28</v>
      </c>
      <c r="BC94">
        <v>62</v>
      </c>
      <c r="BD94">
        <v>165</v>
      </c>
      <c r="BE94">
        <v>8</v>
      </c>
      <c r="BF94" t="s">
        <v>86</v>
      </c>
      <c r="BG94">
        <v>47</v>
      </c>
      <c r="BH94">
        <v>52.2</v>
      </c>
      <c r="BI94">
        <v>-10.3</v>
      </c>
      <c r="BJ94" t="s">
        <v>90</v>
      </c>
      <c r="BK94">
        <v>2203</v>
      </c>
      <c r="BL94">
        <v>14</v>
      </c>
      <c r="BM94">
        <v>0.97</v>
      </c>
      <c r="BN94" t="s">
        <v>96</v>
      </c>
      <c r="BO94" t="s">
        <v>92</v>
      </c>
      <c r="BP94" t="s">
        <v>93</v>
      </c>
      <c r="BQ94" t="s">
        <v>94</v>
      </c>
      <c r="BR94">
        <v>1034</v>
      </c>
      <c r="BS94">
        <v>36</v>
      </c>
      <c r="BT94" t="s">
        <v>131</v>
      </c>
      <c r="BU94" t="s">
        <v>86</v>
      </c>
      <c r="BV94" t="s">
        <v>86</v>
      </c>
      <c r="BW94" t="s">
        <v>86</v>
      </c>
      <c r="BX94" t="s">
        <v>96</v>
      </c>
      <c r="BY94" t="s">
        <v>86</v>
      </c>
      <c r="BZ94" t="s">
        <v>86</v>
      </c>
      <c r="CA94">
        <v>2</v>
      </c>
      <c r="CB94" t="s">
        <v>97</v>
      </c>
      <c r="CC94" t="s">
        <v>86</v>
      </c>
    </row>
    <row r="95" spans="1:81">
      <c r="A95" t="s">
        <v>316</v>
      </c>
      <c r="B95" t="s">
        <v>317</v>
      </c>
      <c r="C95" t="s">
        <v>345</v>
      </c>
      <c r="D95" t="s">
        <v>83</v>
      </c>
      <c r="E95">
        <v>52</v>
      </c>
      <c r="F95" t="s">
        <v>167</v>
      </c>
      <c r="G95">
        <v>80.7</v>
      </c>
      <c r="H95">
        <v>164</v>
      </c>
      <c r="I95">
        <v>30</v>
      </c>
      <c r="J95">
        <v>90.9</v>
      </c>
      <c r="K95" t="s">
        <v>100</v>
      </c>
      <c r="L95" t="s">
        <v>87</v>
      </c>
      <c r="M95" t="s">
        <v>87</v>
      </c>
      <c r="N95" t="s">
        <v>87</v>
      </c>
      <c r="O95" t="s">
        <v>86</v>
      </c>
      <c r="P95" t="s">
        <v>101</v>
      </c>
      <c r="Q95">
        <v>3</v>
      </c>
      <c r="R95" t="s">
        <v>86</v>
      </c>
      <c r="S95" t="s">
        <v>87</v>
      </c>
      <c r="T95" t="s">
        <v>102</v>
      </c>
      <c r="U95">
        <v>125</v>
      </c>
      <c r="V95">
        <v>85</v>
      </c>
      <c r="W95">
        <v>98.3</v>
      </c>
      <c r="X95">
        <v>95</v>
      </c>
      <c r="Y95">
        <v>91</v>
      </c>
      <c r="Z95">
        <v>2040</v>
      </c>
      <c r="AA95">
        <v>2122</v>
      </c>
      <c r="AB95">
        <v>82</v>
      </c>
      <c r="AC95">
        <v>11981</v>
      </c>
      <c r="AD95">
        <v>11.3</v>
      </c>
      <c r="AE95">
        <v>1699</v>
      </c>
      <c r="AF95">
        <v>13.9</v>
      </c>
      <c r="AG95">
        <v>58</v>
      </c>
      <c r="AH95">
        <v>1578</v>
      </c>
      <c r="AI95">
        <v>50</v>
      </c>
      <c r="AJ95">
        <v>6.6</v>
      </c>
      <c r="AK95">
        <v>10.9</v>
      </c>
      <c r="AL95">
        <v>142</v>
      </c>
      <c r="AM95">
        <v>33.200000000000003</v>
      </c>
      <c r="AN95">
        <v>202</v>
      </c>
      <c r="AO95">
        <v>118</v>
      </c>
      <c r="AP95">
        <v>72</v>
      </c>
      <c r="AQ95">
        <v>8.6</v>
      </c>
      <c r="AR95">
        <v>137.5</v>
      </c>
      <c r="AS95">
        <v>3.5</v>
      </c>
      <c r="AT95">
        <v>40</v>
      </c>
      <c r="AU95">
        <v>89</v>
      </c>
      <c r="AV95">
        <v>44</v>
      </c>
      <c r="AW95">
        <v>1.6</v>
      </c>
      <c r="AX95">
        <v>6</v>
      </c>
      <c r="AY95">
        <v>9.8000000000000007</v>
      </c>
      <c r="AZ95">
        <v>15.4</v>
      </c>
      <c r="BA95">
        <v>164</v>
      </c>
      <c r="BB95">
        <v>27</v>
      </c>
      <c r="BC95">
        <v>69</v>
      </c>
      <c r="BD95">
        <v>187</v>
      </c>
      <c r="BE95">
        <v>18</v>
      </c>
      <c r="BF95" t="s">
        <v>86</v>
      </c>
      <c r="BG95">
        <v>50</v>
      </c>
      <c r="BH95">
        <v>33.200000000000003</v>
      </c>
      <c r="BI95">
        <v>-13.6</v>
      </c>
      <c r="BJ95" t="s">
        <v>90</v>
      </c>
      <c r="BK95">
        <v>191</v>
      </c>
      <c r="BL95">
        <v>43</v>
      </c>
      <c r="BM95">
        <v>0.86</v>
      </c>
      <c r="BN95" t="s">
        <v>91</v>
      </c>
      <c r="BO95" t="s">
        <v>92</v>
      </c>
      <c r="BP95" t="s">
        <v>93</v>
      </c>
      <c r="BQ95" t="s">
        <v>94</v>
      </c>
      <c r="BR95">
        <v>1052</v>
      </c>
      <c r="BS95">
        <v>36</v>
      </c>
      <c r="BT95" t="s">
        <v>131</v>
      </c>
      <c r="BU95" t="s">
        <v>86</v>
      </c>
      <c r="BV95" t="s">
        <v>86</v>
      </c>
      <c r="BW95" t="s">
        <v>86</v>
      </c>
      <c r="BX95" t="s">
        <v>96</v>
      </c>
      <c r="BY95" t="s">
        <v>86</v>
      </c>
      <c r="BZ95" t="s">
        <v>86</v>
      </c>
      <c r="CA95">
        <v>5</v>
      </c>
      <c r="CB95" t="s">
        <v>97</v>
      </c>
      <c r="CC95" t="s">
        <v>86</v>
      </c>
    </row>
    <row r="96" spans="1:81">
      <c r="A96" t="s">
        <v>318</v>
      </c>
      <c r="B96" t="s">
        <v>319</v>
      </c>
      <c r="C96" t="s">
        <v>345</v>
      </c>
      <c r="D96" t="s">
        <v>83</v>
      </c>
      <c r="E96">
        <v>51</v>
      </c>
      <c r="F96" t="s">
        <v>167</v>
      </c>
      <c r="G96">
        <v>133.30000000000001</v>
      </c>
      <c r="H96">
        <v>181</v>
      </c>
      <c r="I96">
        <v>40.700000000000003</v>
      </c>
      <c r="J96">
        <v>118.4</v>
      </c>
      <c r="K96" t="s">
        <v>85</v>
      </c>
      <c r="L96" t="s">
        <v>87</v>
      </c>
      <c r="M96" t="s">
        <v>86</v>
      </c>
      <c r="N96" t="s">
        <v>86</v>
      </c>
      <c r="O96" t="s">
        <v>86</v>
      </c>
      <c r="P96" t="s">
        <v>88</v>
      </c>
      <c r="Q96">
        <v>20</v>
      </c>
      <c r="R96" t="s">
        <v>87</v>
      </c>
      <c r="S96" t="s">
        <v>87</v>
      </c>
      <c r="T96" t="s">
        <v>102</v>
      </c>
      <c r="U96">
        <v>139</v>
      </c>
      <c r="V96">
        <v>126</v>
      </c>
      <c r="W96">
        <v>130.30000000000001</v>
      </c>
      <c r="X96">
        <v>128</v>
      </c>
      <c r="Y96">
        <v>95</v>
      </c>
      <c r="Z96">
        <v>1981</v>
      </c>
      <c r="AA96">
        <v>2162</v>
      </c>
      <c r="AB96">
        <v>181</v>
      </c>
      <c r="AC96">
        <v>7226</v>
      </c>
      <c r="AD96">
        <v>32.1</v>
      </c>
      <c r="AE96">
        <v>6157</v>
      </c>
      <c r="AF96">
        <v>34.799999999999997</v>
      </c>
      <c r="AG96">
        <v>56</v>
      </c>
      <c r="AH96">
        <v>1088</v>
      </c>
      <c r="AI96">
        <v>17.2</v>
      </c>
      <c r="AJ96">
        <v>5.5</v>
      </c>
      <c r="AK96">
        <v>6.9</v>
      </c>
      <c r="AL96">
        <v>108</v>
      </c>
      <c r="AM96">
        <v>33.200000000000003</v>
      </c>
      <c r="AN96">
        <v>319</v>
      </c>
      <c r="AO96">
        <v>169</v>
      </c>
      <c r="AP96">
        <v>42</v>
      </c>
      <c r="AQ96">
        <v>7.2</v>
      </c>
      <c r="AR96">
        <v>138.19999999999999</v>
      </c>
      <c r="AS96">
        <v>4.9000000000000004</v>
      </c>
      <c r="AT96">
        <v>23</v>
      </c>
      <c r="AU96">
        <v>54</v>
      </c>
      <c r="AV96">
        <v>38.799999999999997</v>
      </c>
      <c r="AW96">
        <v>2</v>
      </c>
      <c r="AX96">
        <v>9.3000000000000007</v>
      </c>
      <c r="AY96">
        <v>11.4</v>
      </c>
      <c r="AZ96">
        <v>15.2</v>
      </c>
      <c r="BA96">
        <v>383</v>
      </c>
      <c r="BB96">
        <v>23</v>
      </c>
      <c r="BC96">
        <v>61</v>
      </c>
      <c r="BD96">
        <v>177</v>
      </c>
      <c r="BE96">
        <v>23.1</v>
      </c>
      <c r="BF96" t="s">
        <v>86</v>
      </c>
      <c r="BG96">
        <v>22</v>
      </c>
      <c r="BH96">
        <v>52.3</v>
      </c>
      <c r="BI96">
        <v>-7</v>
      </c>
      <c r="BJ96" t="s">
        <v>162</v>
      </c>
      <c r="BK96">
        <v>112</v>
      </c>
      <c r="BL96">
        <v>54</v>
      </c>
      <c r="BM96">
        <v>0.98</v>
      </c>
      <c r="BN96" t="s">
        <v>119</v>
      </c>
      <c r="BO96" t="s">
        <v>92</v>
      </c>
      <c r="BP96" t="s">
        <v>93</v>
      </c>
      <c r="BQ96" t="s">
        <v>94</v>
      </c>
      <c r="BR96">
        <v>1124</v>
      </c>
      <c r="BS96">
        <v>44.6</v>
      </c>
      <c r="BT96" t="s">
        <v>153</v>
      </c>
      <c r="BU96" t="s">
        <v>86</v>
      </c>
      <c r="BV96" t="s">
        <v>86</v>
      </c>
      <c r="BW96" t="s">
        <v>86</v>
      </c>
      <c r="BX96" t="s">
        <v>96</v>
      </c>
      <c r="BY96" t="s">
        <v>86</v>
      </c>
      <c r="BZ96" t="s">
        <v>87</v>
      </c>
      <c r="CA96">
        <v>7</v>
      </c>
      <c r="CB96" t="s">
        <v>97</v>
      </c>
      <c r="CC96" t="s">
        <v>86</v>
      </c>
    </row>
    <row r="97" spans="1:81">
      <c r="A97" t="s">
        <v>320</v>
      </c>
      <c r="B97" t="s">
        <v>321</v>
      </c>
      <c r="C97" t="s">
        <v>345</v>
      </c>
      <c r="D97" t="s">
        <v>83</v>
      </c>
      <c r="E97">
        <v>57</v>
      </c>
      <c r="F97" t="s">
        <v>113</v>
      </c>
      <c r="G97">
        <v>90.3</v>
      </c>
      <c r="H97">
        <v>168</v>
      </c>
      <c r="I97">
        <v>32</v>
      </c>
      <c r="J97">
        <v>106.9</v>
      </c>
      <c r="K97" t="s">
        <v>100</v>
      </c>
      <c r="L97" t="s">
        <v>86</v>
      </c>
      <c r="M97" t="s">
        <v>87</v>
      </c>
      <c r="N97" t="s">
        <v>87</v>
      </c>
      <c r="O97" t="s">
        <v>87</v>
      </c>
      <c r="P97" t="s">
        <v>134</v>
      </c>
      <c r="Q97">
        <v>0</v>
      </c>
      <c r="R97" t="s">
        <v>86</v>
      </c>
      <c r="S97" t="s">
        <v>87</v>
      </c>
      <c r="T97" t="s">
        <v>102</v>
      </c>
      <c r="U97">
        <v>129</v>
      </c>
      <c r="V97">
        <v>65</v>
      </c>
      <c r="W97">
        <v>86.3</v>
      </c>
      <c r="X97">
        <v>90</v>
      </c>
      <c r="Y97">
        <v>95</v>
      </c>
      <c r="Z97">
        <v>2535</v>
      </c>
      <c r="AA97">
        <v>3876</v>
      </c>
      <c r="AB97">
        <v>1341</v>
      </c>
      <c r="AC97">
        <v>8318</v>
      </c>
      <c r="AD97">
        <v>36.799999999999997</v>
      </c>
      <c r="AE97">
        <v>4491</v>
      </c>
      <c r="AF97">
        <v>8.6999999999999993</v>
      </c>
      <c r="AG97">
        <v>41</v>
      </c>
      <c r="AH97">
        <v>164</v>
      </c>
      <c r="AI97">
        <v>16.2</v>
      </c>
      <c r="AJ97">
        <v>7.1</v>
      </c>
      <c r="AK97">
        <v>8.6</v>
      </c>
      <c r="AL97">
        <v>186</v>
      </c>
      <c r="AM97">
        <v>24</v>
      </c>
      <c r="AN97">
        <v>226</v>
      </c>
      <c r="AO97">
        <v>129</v>
      </c>
      <c r="AP97">
        <v>68</v>
      </c>
      <c r="AQ97">
        <v>3.9</v>
      </c>
      <c r="AR97">
        <v>141.19999999999999</v>
      </c>
      <c r="AS97">
        <v>3.8</v>
      </c>
      <c r="AT97">
        <v>56</v>
      </c>
      <c r="AU97">
        <v>44</v>
      </c>
      <c r="AV97">
        <v>39.4</v>
      </c>
      <c r="AW97">
        <v>1.5</v>
      </c>
      <c r="AX97">
        <v>11.8</v>
      </c>
      <c r="AY97">
        <v>6.8</v>
      </c>
      <c r="AZ97">
        <v>13.2</v>
      </c>
      <c r="BA97">
        <v>108</v>
      </c>
      <c r="BB97">
        <v>36</v>
      </c>
      <c r="BC97">
        <v>53</v>
      </c>
      <c r="BD97">
        <v>128</v>
      </c>
      <c r="BE97">
        <v>13.3</v>
      </c>
      <c r="BF97" t="s">
        <v>86</v>
      </c>
      <c r="BG97">
        <v>33</v>
      </c>
      <c r="BH97">
        <v>39.299999999999997</v>
      </c>
      <c r="BI97">
        <v>-9.5</v>
      </c>
      <c r="BJ97" t="s">
        <v>118</v>
      </c>
      <c r="BK97">
        <v>396</v>
      </c>
      <c r="BL97">
        <v>22</v>
      </c>
      <c r="BM97">
        <v>1.05</v>
      </c>
      <c r="BN97" t="s">
        <v>96</v>
      </c>
      <c r="BO97" t="s">
        <v>92</v>
      </c>
      <c r="BP97" t="s">
        <v>93</v>
      </c>
      <c r="BQ97" t="s">
        <v>94</v>
      </c>
      <c r="BR97">
        <v>1156</v>
      </c>
      <c r="BS97">
        <v>34.5</v>
      </c>
      <c r="BT97" t="s">
        <v>153</v>
      </c>
      <c r="BU97" t="s">
        <v>86</v>
      </c>
      <c r="BV97" t="s">
        <v>86</v>
      </c>
      <c r="BW97" t="s">
        <v>86</v>
      </c>
      <c r="BX97" t="s">
        <v>96</v>
      </c>
      <c r="BY97" t="s">
        <v>86</v>
      </c>
      <c r="BZ97" t="s">
        <v>86</v>
      </c>
      <c r="CA97">
        <v>10</v>
      </c>
      <c r="CB97" t="s">
        <v>97</v>
      </c>
      <c r="CC97" t="s">
        <v>86</v>
      </c>
    </row>
    <row r="98" spans="1:81">
      <c r="A98" t="s">
        <v>322</v>
      </c>
      <c r="B98" t="s">
        <v>323</v>
      </c>
      <c r="C98" t="s">
        <v>345</v>
      </c>
      <c r="D98" t="s">
        <v>83</v>
      </c>
      <c r="E98">
        <v>47</v>
      </c>
      <c r="F98" t="s">
        <v>84</v>
      </c>
      <c r="G98">
        <v>99.6</v>
      </c>
      <c r="H98">
        <v>165</v>
      </c>
      <c r="I98">
        <v>36.6</v>
      </c>
      <c r="J98">
        <v>116.8</v>
      </c>
      <c r="K98" t="s">
        <v>123</v>
      </c>
      <c r="L98" t="s">
        <v>87</v>
      </c>
      <c r="M98" t="s">
        <v>87</v>
      </c>
      <c r="N98" t="s">
        <v>87</v>
      </c>
      <c r="O98" t="s">
        <v>86</v>
      </c>
      <c r="P98" t="s">
        <v>88</v>
      </c>
      <c r="Q98">
        <v>6</v>
      </c>
      <c r="R98" t="s">
        <v>87</v>
      </c>
      <c r="S98" t="s">
        <v>86</v>
      </c>
      <c r="T98" t="s">
        <v>102</v>
      </c>
      <c r="U98">
        <v>139</v>
      </c>
      <c r="V98">
        <v>85</v>
      </c>
      <c r="W98">
        <v>103</v>
      </c>
      <c r="X98">
        <v>89</v>
      </c>
      <c r="Y98">
        <v>95</v>
      </c>
      <c r="Z98">
        <v>9348</v>
      </c>
      <c r="AA98">
        <v>7978</v>
      </c>
      <c r="AB98">
        <v>-1370</v>
      </c>
      <c r="AC98">
        <v>4218</v>
      </c>
      <c r="AD98">
        <v>49.9</v>
      </c>
      <c r="AE98">
        <v>4625</v>
      </c>
      <c r="AF98">
        <v>18.8</v>
      </c>
      <c r="AG98">
        <v>72</v>
      </c>
      <c r="AH98">
        <v>446</v>
      </c>
      <c r="AI98">
        <v>10.199999999999999</v>
      </c>
      <c r="AJ98">
        <v>7.1</v>
      </c>
      <c r="AK98">
        <v>6.6</v>
      </c>
      <c r="AL98">
        <v>166</v>
      </c>
      <c r="AM98">
        <v>46.1</v>
      </c>
      <c r="AN98">
        <v>131</v>
      </c>
      <c r="AO98">
        <v>128</v>
      </c>
      <c r="AP98">
        <v>81</v>
      </c>
      <c r="AQ98">
        <v>5.0999999999999996</v>
      </c>
      <c r="AR98">
        <v>132.9</v>
      </c>
      <c r="AS98">
        <v>4.3</v>
      </c>
      <c r="AT98">
        <v>48</v>
      </c>
      <c r="AU98">
        <v>57</v>
      </c>
      <c r="AV98">
        <v>35.6</v>
      </c>
      <c r="AW98">
        <v>1.9</v>
      </c>
      <c r="AX98">
        <v>13.5</v>
      </c>
      <c r="AY98">
        <v>4.5</v>
      </c>
      <c r="AZ98">
        <v>12.4</v>
      </c>
      <c r="BA98">
        <v>337</v>
      </c>
      <c r="BB98">
        <v>32</v>
      </c>
      <c r="BC98">
        <v>53</v>
      </c>
      <c r="BD98">
        <v>184</v>
      </c>
      <c r="BE98">
        <v>20.2</v>
      </c>
      <c r="BF98" t="s">
        <v>86</v>
      </c>
      <c r="BG98">
        <v>43</v>
      </c>
      <c r="BH98">
        <v>44.1</v>
      </c>
      <c r="BI98">
        <v>-15.7</v>
      </c>
      <c r="BJ98" t="s">
        <v>118</v>
      </c>
      <c r="BK98">
        <v>1337</v>
      </c>
      <c r="BL98">
        <v>25</v>
      </c>
      <c r="BM98">
        <v>0.89</v>
      </c>
      <c r="BN98" t="s">
        <v>135</v>
      </c>
      <c r="BO98" t="s">
        <v>92</v>
      </c>
      <c r="BP98" t="s">
        <v>93</v>
      </c>
      <c r="BQ98" t="s">
        <v>103</v>
      </c>
      <c r="BR98">
        <v>1005</v>
      </c>
      <c r="BS98">
        <v>31.9</v>
      </c>
      <c r="BT98" t="s">
        <v>153</v>
      </c>
      <c r="BU98" t="s">
        <v>87</v>
      </c>
      <c r="BV98" t="s">
        <v>86</v>
      </c>
      <c r="BW98" t="s">
        <v>86</v>
      </c>
      <c r="BX98" t="s">
        <v>243</v>
      </c>
      <c r="BY98" t="s">
        <v>86</v>
      </c>
      <c r="BZ98" t="s">
        <v>86</v>
      </c>
      <c r="CA98">
        <v>19</v>
      </c>
      <c r="CB98" t="s">
        <v>104</v>
      </c>
      <c r="CC98" t="s">
        <v>87</v>
      </c>
    </row>
    <row r="99" spans="1:81">
      <c r="A99" t="s">
        <v>324</v>
      </c>
      <c r="B99" t="s">
        <v>325</v>
      </c>
      <c r="C99" t="s">
        <v>345</v>
      </c>
      <c r="D99" t="s">
        <v>83</v>
      </c>
      <c r="E99">
        <v>64</v>
      </c>
      <c r="F99" t="s">
        <v>167</v>
      </c>
      <c r="G99">
        <v>94.1</v>
      </c>
      <c r="H99">
        <v>163</v>
      </c>
      <c r="I99">
        <v>35.4</v>
      </c>
      <c r="J99">
        <v>110.9</v>
      </c>
      <c r="K99" t="s">
        <v>123</v>
      </c>
      <c r="L99" t="s">
        <v>86</v>
      </c>
      <c r="M99" t="s">
        <v>87</v>
      </c>
      <c r="N99" t="s">
        <v>87</v>
      </c>
      <c r="O99" t="s">
        <v>86</v>
      </c>
      <c r="P99" t="s">
        <v>134</v>
      </c>
      <c r="Q99">
        <v>0</v>
      </c>
      <c r="R99" t="s">
        <v>86</v>
      </c>
      <c r="S99" t="s">
        <v>86</v>
      </c>
      <c r="T99" t="s">
        <v>102</v>
      </c>
      <c r="U99">
        <v>116</v>
      </c>
      <c r="V99">
        <v>96</v>
      </c>
      <c r="W99">
        <v>102.7</v>
      </c>
      <c r="X99">
        <v>150</v>
      </c>
      <c r="Y99">
        <v>94</v>
      </c>
      <c r="Z99">
        <v>3012</v>
      </c>
      <c r="AA99">
        <v>2618</v>
      </c>
      <c r="AB99">
        <v>-394</v>
      </c>
      <c r="AC99">
        <v>10200</v>
      </c>
      <c r="AD99">
        <v>39</v>
      </c>
      <c r="AE99">
        <v>3462</v>
      </c>
      <c r="AF99">
        <v>23.5</v>
      </c>
      <c r="AG99">
        <v>67</v>
      </c>
      <c r="AH99">
        <v>1042</v>
      </c>
      <c r="AI99">
        <v>16.100000000000001</v>
      </c>
      <c r="AJ99">
        <v>9.3000000000000007</v>
      </c>
      <c r="AK99">
        <v>9.1</v>
      </c>
      <c r="AL99">
        <v>101</v>
      </c>
      <c r="AM99">
        <v>42.4</v>
      </c>
      <c r="AN99">
        <v>407</v>
      </c>
      <c r="AO99">
        <v>127</v>
      </c>
      <c r="AP99">
        <v>55</v>
      </c>
      <c r="AQ99">
        <v>11.4</v>
      </c>
      <c r="AR99">
        <v>137.30000000000001</v>
      </c>
      <c r="AS99">
        <v>4.9000000000000004</v>
      </c>
      <c r="AT99">
        <v>92</v>
      </c>
      <c r="AU99">
        <v>47</v>
      </c>
      <c r="AV99">
        <v>34.1</v>
      </c>
      <c r="AW99">
        <v>3.6</v>
      </c>
      <c r="AX99">
        <v>11.5</v>
      </c>
      <c r="AY99">
        <v>4.7</v>
      </c>
      <c r="AZ99">
        <v>14.3</v>
      </c>
      <c r="BA99">
        <v>318</v>
      </c>
      <c r="BB99">
        <v>36</v>
      </c>
      <c r="BC99">
        <v>45</v>
      </c>
      <c r="BD99">
        <v>178</v>
      </c>
      <c r="BE99">
        <v>18.899999999999999</v>
      </c>
      <c r="BF99" t="s">
        <v>86</v>
      </c>
      <c r="BG99">
        <v>42</v>
      </c>
      <c r="BH99">
        <v>48.8</v>
      </c>
      <c r="BI99">
        <v>-12.5</v>
      </c>
      <c r="BJ99" t="s">
        <v>115</v>
      </c>
      <c r="BK99">
        <v>846</v>
      </c>
      <c r="BL99">
        <v>25</v>
      </c>
      <c r="BM99">
        <v>0.89</v>
      </c>
      <c r="BN99" t="s">
        <v>135</v>
      </c>
      <c r="BO99" t="s">
        <v>92</v>
      </c>
      <c r="BP99" t="s">
        <v>93</v>
      </c>
      <c r="BQ99" t="s">
        <v>103</v>
      </c>
      <c r="BR99">
        <v>1129</v>
      </c>
      <c r="BS99">
        <v>28.3</v>
      </c>
      <c r="BT99" t="s">
        <v>131</v>
      </c>
      <c r="BU99" t="s">
        <v>87</v>
      </c>
      <c r="BV99" t="s">
        <v>86</v>
      </c>
      <c r="BW99" t="s">
        <v>87</v>
      </c>
      <c r="BX99" t="s">
        <v>96</v>
      </c>
      <c r="BY99" t="s">
        <v>86</v>
      </c>
      <c r="BZ99" t="s">
        <v>86</v>
      </c>
      <c r="CA99">
        <v>7</v>
      </c>
      <c r="CB99" t="s">
        <v>97</v>
      </c>
      <c r="CC99" t="s">
        <v>87</v>
      </c>
    </row>
    <row r="100" spans="1:81">
      <c r="A100" t="s">
        <v>326</v>
      </c>
      <c r="B100" t="s">
        <v>327</v>
      </c>
      <c r="C100" t="s">
        <v>345</v>
      </c>
      <c r="D100" t="s">
        <v>83</v>
      </c>
      <c r="E100">
        <v>45</v>
      </c>
      <c r="F100" t="s">
        <v>107</v>
      </c>
      <c r="G100">
        <v>116.6</v>
      </c>
      <c r="H100">
        <v>166</v>
      </c>
      <c r="I100">
        <v>42.3</v>
      </c>
      <c r="J100">
        <v>128</v>
      </c>
      <c r="K100" t="s">
        <v>85</v>
      </c>
      <c r="L100" t="s">
        <v>87</v>
      </c>
      <c r="M100" t="s">
        <v>87</v>
      </c>
      <c r="N100" t="s">
        <v>87</v>
      </c>
      <c r="O100" t="s">
        <v>86</v>
      </c>
      <c r="P100" t="s">
        <v>108</v>
      </c>
      <c r="Q100">
        <v>13</v>
      </c>
      <c r="R100" t="s">
        <v>87</v>
      </c>
      <c r="S100" t="s">
        <v>87</v>
      </c>
      <c r="T100" t="s">
        <v>89</v>
      </c>
      <c r="U100">
        <v>105</v>
      </c>
      <c r="V100">
        <v>58</v>
      </c>
      <c r="W100">
        <v>73.7</v>
      </c>
      <c r="X100">
        <v>92</v>
      </c>
      <c r="Y100">
        <v>90</v>
      </c>
      <c r="Z100">
        <v>4341</v>
      </c>
      <c r="AA100">
        <v>4188</v>
      </c>
      <c r="AB100">
        <v>-153</v>
      </c>
      <c r="AC100">
        <v>9611</v>
      </c>
      <c r="AD100">
        <v>45.7</v>
      </c>
      <c r="AE100">
        <v>2605</v>
      </c>
      <c r="AF100">
        <v>28.5</v>
      </c>
      <c r="AG100">
        <v>47</v>
      </c>
      <c r="AH100">
        <v>1057</v>
      </c>
      <c r="AI100">
        <v>26.6</v>
      </c>
      <c r="AJ100">
        <v>8.8000000000000007</v>
      </c>
      <c r="AK100">
        <v>10.4</v>
      </c>
      <c r="AL100">
        <v>171</v>
      </c>
      <c r="AM100">
        <v>24</v>
      </c>
      <c r="AN100">
        <v>397</v>
      </c>
      <c r="AO100">
        <v>182</v>
      </c>
      <c r="AP100">
        <v>54</v>
      </c>
      <c r="AQ100">
        <v>7.1</v>
      </c>
      <c r="AR100">
        <v>130</v>
      </c>
      <c r="AS100">
        <v>4</v>
      </c>
      <c r="AT100">
        <v>79</v>
      </c>
      <c r="AU100">
        <v>104</v>
      </c>
      <c r="AV100">
        <v>41.2</v>
      </c>
      <c r="AW100">
        <v>1.9</v>
      </c>
      <c r="AX100">
        <v>13.2</v>
      </c>
      <c r="AY100">
        <v>4.5</v>
      </c>
      <c r="AZ100">
        <v>14</v>
      </c>
      <c r="BA100">
        <v>311</v>
      </c>
      <c r="BB100">
        <v>10</v>
      </c>
      <c r="BC100">
        <v>53</v>
      </c>
      <c r="BD100">
        <v>187</v>
      </c>
      <c r="BE100">
        <v>21.2</v>
      </c>
      <c r="BF100" t="s">
        <v>87</v>
      </c>
      <c r="BG100">
        <v>47</v>
      </c>
      <c r="BH100">
        <v>45.6</v>
      </c>
      <c r="BI100">
        <v>-14.3</v>
      </c>
      <c r="BJ100" t="s">
        <v>115</v>
      </c>
      <c r="BK100">
        <v>102</v>
      </c>
      <c r="BL100">
        <v>23</v>
      </c>
      <c r="BM100">
        <v>0.66</v>
      </c>
      <c r="BN100" t="s">
        <v>91</v>
      </c>
      <c r="BO100" t="s">
        <v>92</v>
      </c>
      <c r="BP100" t="s">
        <v>93</v>
      </c>
      <c r="BQ100" t="s">
        <v>94</v>
      </c>
      <c r="BR100">
        <v>1086</v>
      </c>
      <c r="BS100">
        <v>46.7</v>
      </c>
      <c r="BT100" t="s">
        <v>131</v>
      </c>
      <c r="BU100" t="s">
        <v>87</v>
      </c>
      <c r="BV100" t="s">
        <v>86</v>
      </c>
      <c r="BW100" t="s">
        <v>87</v>
      </c>
      <c r="BX100" t="s">
        <v>96</v>
      </c>
      <c r="BY100" t="s">
        <v>87</v>
      </c>
      <c r="BZ100" t="s">
        <v>86</v>
      </c>
      <c r="CA100">
        <v>14</v>
      </c>
      <c r="CB100" t="s">
        <v>104</v>
      </c>
      <c r="CC100" t="s">
        <v>87</v>
      </c>
    </row>
    <row r="101" spans="1:81">
      <c r="A101" t="s">
        <v>328</v>
      </c>
      <c r="B101" t="s">
        <v>329</v>
      </c>
      <c r="C101" t="s">
        <v>345</v>
      </c>
      <c r="D101" t="s">
        <v>83</v>
      </c>
      <c r="E101">
        <v>68</v>
      </c>
      <c r="F101" t="s">
        <v>167</v>
      </c>
      <c r="G101">
        <v>126.3</v>
      </c>
      <c r="H101">
        <v>177</v>
      </c>
      <c r="I101">
        <v>40.299999999999997</v>
      </c>
      <c r="J101">
        <v>115.4</v>
      </c>
      <c r="K101" t="s">
        <v>85</v>
      </c>
      <c r="L101" t="s">
        <v>86</v>
      </c>
      <c r="M101" t="s">
        <v>87</v>
      </c>
      <c r="N101" t="s">
        <v>87</v>
      </c>
      <c r="O101" t="s">
        <v>87</v>
      </c>
      <c r="P101" t="s">
        <v>157</v>
      </c>
      <c r="Q101">
        <v>8</v>
      </c>
      <c r="R101" t="s">
        <v>87</v>
      </c>
      <c r="S101" t="s">
        <v>86</v>
      </c>
      <c r="T101" t="s">
        <v>89</v>
      </c>
      <c r="U101">
        <v>95</v>
      </c>
      <c r="V101">
        <v>57</v>
      </c>
      <c r="W101">
        <v>69.7</v>
      </c>
      <c r="X101">
        <v>99</v>
      </c>
      <c r="Y101">
        <v>90</v>
      </c>
      <c r="Z101">
        <v>763</v>
      </c>
      <c r="AA101">
        <v>1331</v>
      </c>
      <c r="AB101">
        <v>568</v>
      </c>
      <c r="AC101">
        <v>10910</v>
      </c>
      <c r="AD101">
        <v>11.2</v>
      </c>
      <c r="AE101">
        <v>8908</v>
      </c>
      <c r="AF101">
        <v>56.9</v>
      </c>
      <c r="AG101">
        <v>76</v>
      </c>
      <c r="AH101">
        <v>1036</v>
      </c>
      <c r="AI101">
        <v>72</v>
      </c>
      <c r="AJ101">
        <v>8.1999999999999993</v>
      </c>
      <c r="AK101">
        <v>10.8</v>
      </c>
      <c r="AL101">
        <v>179</v>
      </c>
      <c r="AM101">
        <v>38</v>
      </c>
      <c r="AN101">
        <v>460</v>
      </c>
      <c r="AO101">
        <v>176</v>
      </c>
      <c r="AP101">
        <v>31</v>
      </c>
      <c r="AQ101">
        <v>8.6999999999999993</v>
      </c>
      <c r="AR101">
        <v>143.9</v>
      </c>
      <c r="AS101">
        <v>4.2</v>
      </c>
      <c r="AT101">
        <v>83</v>
      </c>
      <c r="AU101">
        <v>15</v>
      </c>
      <c r="AV101">
        <v>35.4</v>
      </c>
      <c r="AW101">
        <v>3.6</v>
      </c>
      <c r="AX101">
        <v>8.1999999999999993</v>
      </c>
      <c r="AY101">
        <v>3.7</v>
      </c>
      <c r="AZ101">
        <v>12.9</v>
      </c>
      <c r="BA101">
        <v>209</v>
      </c>
      <c r="BB101">
        <v>17</v>
      </c>
      <c r="BC101">
        <v>67</v>
      </c>
      <c r="BD101">
        <v>142</v>
      </c>
      <c r="BE101">
        <v>18</v>
      </c>
      <c r="BF101" t="s">
        <v>87</v>
      </c>
      <c r="BG101">
        <v>45</v>
      </c>
      <c r="BH101">
        <v>49</v>
      </c>
      <c r="BI101">
        <v>-10.9</v>
      </c>
      <c r="BJ101" t="s">
        <v>90</v>
      </c>
      <c r="BK101">
        <v>71</v>
      </c>
      <c r="BL101">
        <v>59</v>
      </c>
      <c r="BM101">
        <v>0.67</v>
      </c>
      <c r="BN101" t="s">
        <v>96</v>
      </c>
      <c r="BO101" t="s">
        <v>92</v>
      </c>
      <c r="BP101" t="s">
        <v>93</v>
      </c>
      <c r="BQ101" t="s">
        <v>94</v>
      </c>
      <c r="BR101">
        <v>1131</v>
      </c>
      <c r="BS101">
        <v>31</v>
      </c>
      <c r="BT101" t="s">
        <v>110</v>
      </c>
      <c r="BU101" t="s">
        <v>87</v>
      </c>
      <c r="BV101" t="s">
        <v>87</v>
      </c>
      <c r="BW101" t="s">
        <v>86</v>
      </c>
      <c r="BX101" t="s">
        <v>96</v>
      </c>
      <c r="BY101" t="s">
        <v>86</v>
      </c>
      <c r="BZ101" t="s">
        <v>86</v>
      </c>
      <c r="CA101">
        <v>10</v>
      </c>
      <c r="CB101" t="s">
        <v>97</v>
      </c>
      <c r="CC10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4"/>
  <sheetViews>
    <sheetView workbookViewId="0">
      <selection activeCell="B5" sqref="B5"/>
    </sheetView>
  </sheetViews>
  <sheetFormatPr baseColWidth="10" defaultColWidth="8.83203125" defaultRowHeight="15"/>
  <cols>
    <col min="1" max="1" width="24" customWidth="1"/>
    <col min="2" max="2" width="90" customWidth="1"/>
  </cols>
  <sheetData>
    <row r="1" spans="1:78" ht="32">
      <c r="A1" s="1" t="s">
        <v>330</v>
      </c>
      <c r="B1" s="1" t="s">
        <v>331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332</v>
      </c>
      <c r="B2" t="s">
        <v>333</v>
      </c>
    </row>
    <row r="3" spans="1:78">
      <c r="A3" t="s">
        <v>334</v>
      </c>
      <c r="B3" t="s">
        <v>346</v>
      </c>
    </row>
    <row r="4" spans="1:78">
      <c r="A4" t="s">
        <v>335</v>
      </c>
      <c r="B4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8"/>
  <sheetViews>
    <sheetView workbookViewId="0"/>
  </sheetViews>
  <sheetFormatPr baseColWidth="10" defaultColWidth="8.83203125" defaultRowHeight="15"/>
  <cols>
    <col min="1" max="1" width="28" customWidth="1"/>
    <col min="2" max="2" width="22" customWidth="1"/>
  </cols>
  <sheetData>
    <row r="1" spans="1:78" ht="16">
      <c r="A1" s="1" t="s">
        <v>337</v>
      </c>
      <c r="B1" s="1" t="s">
        <v>338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339</v>
      </c>
      <c r="B2">
        <f>COUNTA(Dataset!A2:A101)</f>
        <v>100</v>
      </c>
    </row>
    <row r="3" spans="1:78">
      <c r="A3" t="s">
        <v>340</v>
      </c>
      <c r="B3">
        <f>AVERAGE(Dataset!E2:E101)</f>
        <v>47.03</v>
      </c>
    </row>
    <row r="4" spans="1:78">
      <c r="A4" t="s">
        <v>341</v>
      </c>
      <c r="B4">
        <f>AVERAGE(Dataset!I2:I101)</f>
        <v>34.354999999999997</v>
      </c>
    </row>
    <row r="5" spans="1:78">
      <c r="A5" t="s">
        <v>342</v>
      </c>
      <c r="B5">
        <f>AVERAGE(Dataset!BB2:BB101)</f>
        <v>28.17</v>
      </c>
    </row>
    <row r="6" spans="1:78">
      <c r="A6" t="s">
        <v>343</v>
      </c>
      <c r="B6">
        <f>COUNTIF(Dataset!BU2:BU101,"Yes")</f>
        <v>59</v>
      </c>
    </row>
    <row r="7" spans="1:78">
      <c r="A7" t="s">
        <v>344</v>
      </c>
      <c r="B7">
        <f>COUNTIF(Dataset!CC2:CC101,"Yes")</f>
        <v>59</v>
      </c>
    </row>
    <row r="8" spans="1:78">
      <c r="A8" t="s">
        <v>120</v>
      </c>
      <c r="B8">
        <f>COUNTIF(Dataset!CB2:CB101,"Inpatient mortality")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README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Jihan Fitria</cp:lastModifiedBy>
  <dcterms:modified xsi:type="dcterms:W3CDTF">2026-05-22T23:31:38Z</dcterms:modified>
</cp:coreProperties>
</file>